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at du patrimo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Hypothèse fournie par l'utilisateur : valeur de marché = loyer brut annuel × 10. Modifier cette cellule pour changer le multiple.</t>
        </r>
      </text>
    </comment>
    <comment ref="E14" authorId="0">
      <text>
        <r>
          <rPr>
            <sz val="10"/>
            <rFont val="Arial"/>
            <family val="2"/>
          </rPr>
          <t xml:space="preserve">Loyer brut annuel tel qu'indiqué sur l'état locatif au 09/10/2026 (colonne LOYER).</t>
        </r>
      </text>
    </comment>
    <comment ref="I14" authorId="0">
      <text>
        <r>
          <rPr>
            <sz val="10"/>
            <rFont val="Arial"/>
            <family val="2"/>
          </rPr>
          <t xml:space="preserve">Colonnes Taxes, Vacant, Loyer potentiel et Charges sur vacant : vides sur la fiche (bien loué à 100 %), saisies à 0.</t>
        </r>
      </text>
    </comment>
  </commentList>
</comments>
</file>

<file path=xl/sharedStrings.xml><?xml version="1.0" encoding="utf-8"?>
<sst xmlns="http://schemas.openxmlformats.org/spreadsheetml/2006/main" count="43" uniqueCount="41">
  <si>
    <t xml:space="preserve">SCI 143 MONT ROUGE – État du patrimoine</t>
  </si>
  <si>
    <t xml:space="preserve">Source : État locatif détaillé au 09/10/2026 (Sopra Steria / Prémiance, édité le 09/10/2026 09:38, page 1/1)</t>
  </si>
  <si>
    <t xml:space="preserve">Gestionnaire</t>
  </si>
  <si>
    <t xml:space="preserve">SODES – 41, avenue Montaigne 75008 PARIS</t>
  </si>
  <si>
    <t xml:space="preserve">Gestionnaire (contact)</t>
  </si>
  <si>
    <t xml:space="preserve">A. DUVIVIER</t>
  </si>
  <si>
    <t xml:space="preserve">Propriétaire</t>
  </si>
  <si>
    <t xml:space="preserve">143REPUB – MONTROUGE 143 REPUBLIQUE</t>
  </si>
  <si>
    <t xml:space="preserve">Propriété</t>
  </si>
  <si>
    <t xml:space="preserve">MONTROUGE 143 REPUBLIQUE</t>
  </si>
  <si>
    <t xml:space="preserve">Date de l'état locatif</t>
  </si>
  <si>
    <t xml:space="preserve">09/10/2026</t>
  </si>
  <si>
    <t xml:space="preserve">Nombre de baux</t>
  </si>
  <si>
    <t xml:space="preserve">Nombre de locataires</t>
  </si>
  <si>
    <t xml:space="preserve">Nombre de propriétés</t>
  </si>
  <si>
    <t xml:space="preserve">Nature</t>
  </si>
  <si>
    <t xml:space="preserve">Surface totale (m²)</t>
  </si>
  <si>
    <t xml:space="preserve">Surface louée (m²)</t>
  </si>
  <si>
    <t xml:space="preserve">Loué (%)</t>
  </si>
  <si>
    <t xml:space="preserve">Loyer brut annuel (€)</t>
  </si>
  <si>
    <t xml:space="preserve">Loyer (€/m²)</t>
  </si>
  <si>
    <t xml:space="preserve">Charges annuelles (€)</t>
  </si>
  <si>
    <t xml:space="preserve">Charges (€/m²)</t>
  </si>
  <si>
    <t xml:space="preserve">Taxes (€)</t>
  </si>
  <si>
    <t xml:space="preserve">Surface vacante (m²)</t>
  </si>
  <si>
    <t xml:space="preserve">Vacant (%)</t>
  </si>
  <si>
    <t xml:space="preserve">Loyer potentiel (€)</t>
  </si>
  <si>
    <t xml:space="preserve">Charges sur vacant (€)</t>
  </si>
  <si>
    <t xml:space="preserve">COMMERCE</t>
  </si>
  <si>
    <t xml:space="preserve">PARKING COUVERT</t>
  </si>
  <si>
    <t xml:space="preserve">TOTAL SURFACE</t>
  </si>
  <si>
    <t xml:space="preserve">Valeur de marché (méthode loyer brut × multiple)</t>
  </si>
  <si>
    <t xml:space="preserve">Multiple appliqué au loyer brut</t>
  </si>
  <si>
    <t xml:space="preserve">← cellule à modifier (hypothèse)</t>
  </si>
  <si>
    <t xml:space="preserve">Multiple</t>
  </si>
  <si>
    <t xml:space="preserve">Valeur de marché (€)</t>
  </si>
  <si>
    <t xml:space="preserve">Rendement brut implicite</t>
  </si>
  <si>
    <t xml:space="preserve">TOTAL SCI 143 MONT ROUGE</t>
  </si>
  <si>
    <t xml:space="preserve">Légende</t>
  </si>
  <si>
    <t xml:space="preserve">Texte bleu : données saisies depuis la fiche (modifiables). Texte noir : formules. Fond jaune : hypothèse de calcul.</t>
  </si>
  <si>
    <t xml:space="preserve">Les montants de loyer et de charges sont annuels, hors taxes, tels qu'indiqués sur l'état locatif.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</si>
</sst>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%"/>
    <numFmt numFmtId="167" formatCode="#,##0"/>
    <numFmt numFmtId="168" formatCode="#,##0;\(#,##0\);\-"/>
    <numFmt numFmtId="169" formatCode="#,##0.00;\(#,##0.00\);\-"/>
    <numFmt numFmtId="170" formatCode="0.0\x"/>
    <numFmt numFmtId="171" formatCode="#,##0&quot; €&quot;"/>
    <numFmt numFmtId="172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5" t="n">
        <v>1</v>
      </c>
    </row>
    <row r="10" customFormat="false" ht="15" hidden="false" customHeight="false" outlineLevel="0" collapsed="false">
      <c r="A10" s="3" t="s">
        <v>13</v>
      </c>
      <c r="B10" s="5" t="n">
        <v>1</v>
      </c>
    </row>
    <row r="11" customFormat="false" ht="15" hidden="false" customHeight="false" outlineLevel="0" collapsed="false">
      <c r="A11" s="3" t="s">
        <v>14</v>
      </c>
      <c r="B11" s="5" t="n">
        <v>1</v>
      </c>
    </row>
    <row r="13" customFormat="false" ht="42" hidden="false" customHeight="true" outlineLevel="0" collapsed="false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</row>
    <row r="14" customFormat="false" ht="15" hidden="false" customHeight="false" outlineLevel="0" collapsed="false">
      <c r="A14" s="7" t="s">
        <v>28</v>
      </c>
      <c r="B14" s="8" t="n">
        <v>240</v>
      </c>
      <c r="C14" s="8" t="n">
        <v>240</v>
      </c>
      <c r="D14" s="9" t="n">
        <f aca="false">IF(B14=0,0,C14/B14)</f>
        <v>1</v>
      </c>
      <c r="E14" s="10" t="n">
        <v>75817</v>
      </c>
      <c r="F14" s="11" t="n">
        <f aca="false">IF(C14=0,0,E14/C14)</f>
        <v>315.904166666667</v>
      </c>
      <c r="G14" s="10" t="n">
        <v>6349</v>
      </c>
      <c r="H14" s="11" t="n">
        <f aca="false">IF(C14=0,0,G14/C14)</f>
        <v>26.4541666666667</v>
      </c>
      <c r="I14" s="12" t="n">
        <v>0</v>
      </c>
      <c r="J14" s="13" t="n">
        <f aca="false">B14-C14</f>
        <v>0</v>
      </c>
      <c r="K14" s="9" t="n">
        <f aca="false">IF(B14=0,0,J14/B14)</f>
        <v>0</v>
      </c>
      <c r="L14" s="12" t="n">
        <v>0</v>
      </c>
      <c r="M14" s="12" t="n">
        <v>0</v>
      </c>
    </row>
    <row r="15" customFormat="false" ht="15" hidden="false" customHeight="false" outlineLevel="0" collapsed="false">
      <c r="A15" s="7" t="s">
        <v>29</v>
      </c>
      <c r="B15" s="8" t="n">
        <v>12.5</v>
      </c>
      <c r="C15" s="8" t="n">
        <v>12.5</v>
      </c>
      <c r="D15" s="9" t="n">
        <f aca="false">IF(B15=0,0,C15/B15)</f>
        <v>1</v>
      </c>
      <c r="E15" s="10" t="n">
        <v>3949</v>
      </c>
      <c r="F15" s="11" t="n">
        <f aca="false">IF(C15=0,0,E15/C15)</f>
        <v>315.92</v>
      </c>
      <c r="G15" s="10" t="n">
        <v>331</v>
      </c>
      <c r="H15" s="11" t="n">
        <f aca="false">IF(C15=0,0,G15/C15)</f>
        <v>26.48</v>
      </c>
      <c r="I15" s="12" t="n">
        <v>0</v>
      </c>
      <c r="J15" s="13" t="n">
        <f aca="false">B15-C15</f>
        <v>0</v>
      </c>
      <c r="K15" s="9" t="n">
        <f aca="false">IF(B15=0,0,J15/B15)</f>
        <v>0</v>
      </c>
      <c r="L15" s="12" t="n">
        <v>0</v>
      </c>
      <c r="M15" s="12" t="n">
        <v>0</v>
      </c>
    </row>
    <row r="16" customFormat="false" ht="15" hidden="false" customHeight="false" outlineLevel="0" collapsed="false">
      <c r="A16" s="14" t="s">
        <v>30</v>
      </c>
      <c r="B16" s="15" t="n">
        <f aca="false">SUM(B14:B15)</f>
        <v>252.5</v>
      </c>
      <c r="C16" s="15" t="n">
        <f aca="false">SUM(C14:C15)</f>
        <v>252.5</v>
      </c>
      <c r="D16" s="16" t="n">
        <f aca="false">IF(B16=0,0,C16/B16)</f>
        <v>1</v>
      </c>
      <c r="E16" s="17" t="n">
        <f aca="false">SUM(E14:E15)</f>
        <v>79766</v>
      </c>
      <c r="F16" s="15" t="n">
        <f aca="false">IF(C16=0,0,E16/C16)</f>
        <v>315.90495049505</v>
      </c>
      <c r="G16" s="17" t="n">
        <f aca="false">SUM(G14:G15)</f>
        <v>6680</v>
      </c>
      <c r="H16" s="15" t="n">
        <f aca="false">IF(C16=0,0,G16/C16)</f>
        <v>26.4554455445545</v>
      </c>
      <c r="I16" s="17" t="n">
        <f aca="false">SUM(I14:I15)</f>
        <v>0</v>
      </c>
      <c r="J16" s="15" t="n">
        <f aca="false">SUM(J14:J15)</f>
        <v>0</v>
      </c>
      <c r="K16" s="16" t="n">
        <f aca="false">IF(B16=0,0,J16/B16)</f>
        <v>0</v>
      </c>
      <c r="L16" s="17" t="n">
        <f aca="false">SUM(L14:L15)</f>
        <v>0</v>
      </c>
      <c r="M16" s="17" t="n">
        <f aca="false">SUM(M14:M15)</f>
        <v>0</v>
      </c>
    </row>
    <row r="19" customFormat="false" ht="17.35" hidden="false" customHeight="false" outlineLevel="0" collapsed="false">
      <c r="A19" s="1" t="s">
        <v>31</v>
      </c>
    </row>
    <row r="20" customFormat="false" ht="15" hidden="false" customHeight="false" outlineLevel="0" collapsed="false">
      <c r="A20" s="3" t="s">
        <v>32</v>
      </c>
      <c r="B20" s="18" t="n">
        <v>10</v>
      </c>
      <c r="C20" s="2" t="s">
        <v>33</v>
      </c>
    </row>
    <row r="22" customFormat="false" ht="30" hidden="false" customHeight="true" outlineLevel="0" collapsed="false">
      <c r="A22" s="6" t="s">
        <v>15</v>
      </c>
      <c r="B22" s="6" t="s">
        <v>19</v>
      </c>
      <c r="C22" s="6" t="s">
        <v>34</v>
      </c>
      <c r="D22" s="6" t="s">
        <v>35</v>
      </c>
      <c r="E22" s="6" t="s">
        <v>36</v>
      </c>
    </row>
    <row r="23" customFormat="false" ht="15" hidden="false" customHeight="false" outlineLevel="0" collapsed="false">
      <c r="A23" s="7" t="str">
        <f aca="false">A14</f>
        <v>COMMERCE</v>
      </c>
      <c r="B23" s="19" t="n">
        <f aca="false">E14</f>
        <v>75817</v>
      </c>
      <c r="C23" s="20" t="n">
        <f aca="false">$B$20</f>
        <v>10</v>
      </c>
      <c r="D23" s="19" t="n">
        <f aca="false">B23*C23</f>
        <v>758170</v>
      </c>
      <c r="E23" s="21" t="n">
        <f aca="false">IF(D23=0,0,B23/D23)</f>
        <v>0.1</v>
      </c>
    </row>
    <row r="24" customFormat="false" ht="15" hidden="false" customHeight="false" outlineLevel="0" collapsed="false">
      <c r="A24" s="7" t="str">
        <f aca="false">A15</f>
        <v>PARKING COUVERT</v>
      </c>
      <c r="B24" s="19" t="n">
        <f aca="false">E15</f>
        <v>3949</v>
      </c>
      <c r="C24" s="20" t="n">
        <f aca="false">$B$20</f>
        <v>10</v>
      </c>
      <c r="D24" s="19" t="n">
        <f aca="false">B24*C24</f>
        <v>39490</v>
      </c>
      <c r="E24" s="21" t="n">
        <f aca="false">IF(D24=0,0,B24/D24)</f>
        <v>0.1</v>
      </c>
    </row>
    <row r="25" customFormat="false" ht="15" hidden="false" customHeight="false" outlineLevel="0" collapsed="false">
      <c r="A25" s="14" t="s">
        <v>37</v>
      </c>
      <c r="B25" s="22" t="n">
        <f aca="false">SUM(B23:B24)</f>
        <v>79766</v>
      </c>
      <c r="C25" s="23" t="n">
        <f aca="false">$B$20</f>
        <v>10</v>
      </c>
      <c r="D25" s="22" t="n">
        <f aca="false">SUM(D23:D24)</f>
        <v>797660</v>
      </c>
      <c r="E25" s="24" t="n">
        <f aca="false">IF(D25=0,0,B25/D25)</f>
        <v>0.1</v>
      </c>
    </row>
    <row r="27" customFormat="false" ht="15" hidden="false" customHeight="false" outlineLevel="0" collapsed="false">
      <c r="A27" s="3" t="s">
        <v>38</v>
      </c>
    </row>
    <row r="28" customFormat="false" ht="15" hidden="false" customHeight="false" outlineLevel="0" collapsed="false">
      <c r="A28" s="25" t="s">
        <v>39</v>
      </c>
    </row>
    <row r="29" customFormat="false" ht="15" hidden="false" customHeight="false" outlineLevel="0" collapsed="false">
      <c r="A29" s="2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2026-10-09T07:41:22Z</dcterms:created>
  <dc:creator>openpyxl</dc:creator>
  <dc:description/>
  <dc:language>en-US</dc:language>
  <cp:lastModifiedBy/>
  <dcterms:modified xsi:type="dcterms:W3CDTF">2026-10-09T07:41:22Z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