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ratif" sheetId="1" state="visible" r:id="rId3"/>
    <sheet name="Corrections" sheetId="2" state="visible" r:id="rId4"/>
    <sheet name="Barème indicatif" sheetId="3" state="visible" r:id="rId5"/>
  </sheets>
  <definedNames>
    <definedName function="false" hidden="false" localSheetId="0" name="_xlnm.Print_Area" vbProcedure="false">Comparatif!$A$1:$G$60</definedName>
    <definedName function="false" hidden="false" localSheetId="0" name="_xlnm.Print_Titles" vbProcedure="false">Comparatif!$11:$11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<sst xmlns="http://schemas.openxmlformats.org/spreadsheetml/2006/main" count="178" uniqueCount="170">
  <si>
    <t xml:space="preserve">Revenu disponible mensuel – comparatif Mme GRAMOND / M. DU VIVIER</t>
  </si>
  <si>
    <t xml:space="preserve">TJ Paris – JAF section 1 cab. 2 – RG 26/35379 – audience du 30 octobre 2026. Montants mensuels en euros, tels que déclarés par chaque partie dans ses écritures.</t>
  </si>
  <si>
    <t xml:space="preserve">SYNTHÈSE</t>
  </si>
  <si>
    <t xml:space="preserve">Mme GRAMOND
requête juin 2026</t>
  </si>
  <si>
    <t xml:space="preserve">Mme GRAMOND
conclusions oct. 2026</t>
  </si>
  <si>
    <t xml:space="preserve">M. DU VIVIER
projet 18/09/2026</t>
  </si>
  <si>
    <t xml:space="preserve">Écart
Mme (oct.) – M.</t>
  </si>
  <si>
    <t xml:space="preserve">Ressources mensuelles retenues</t>
  </si>
  <si>
    <t xml:space="preserve">Chiffre retenu par chaque partie, pension perçue non comprise.</t>
  </si>
  <si>
    <t xml:space="preserve">Charges mensuelles déclarées (somme des lignes)</t>
  </si>
  <si>
    <t xml:space="preserve">Somme des lignes listées, hors nourriture, vêture, loisirs et vacances.</t>
  </si>
  <si>
    <t xml:space="preserve">Revenu disponible calculé</t>
  </si>
  <si>
    <t xml:space="preserve">Ressources moins charges, calcul vérifié ligne à ligne.</t>
  </si>
  <si>
    <t xml:space="preserve">Revenu disponible affiché dans l'écriture</t>
  </si>
  <si>
    <t xml:space="preserve">Tel qu'écrit dans la requête, les conclusions et le projet.</t>
  </si>
  <si>
    <t xml:space="preserve">Écart calcul / affiché</t>
  </si>
  <si>
    <t xml:space="preserve">M. : la scolarité (305,25 €) est listée mais omise du total du projet.</t>
  </si>
  <si>
    <t xml:space="preserve">Poste</t>
  </si>
  <si>
    <t xml:space="preserve">Pièces
Mme / M.</t>
  </si>
  <si>
    <t xml:space="preserve">Observation</t>
  </si>
  <si>
    <t xml:space="preserve">RESSOURCES MENSUELLES</t>
  </si>
  <si>
    <t xml:space="preserve">Salaires nets (chiffre retenu par la partie)</t>
  </si>
  <si>
    <t xml:space="preserve">33, 68, 69 / 26</t>
  </si>
  <si>
    <t xml:space="preserve">Mme : 84 597 €/12 (2024) puis 63 264,61 € sur 9 mois 2026 ; son revenu 2025 est de 88 664 € soit 7 388,66 €/mois. M. : 130 116 €/12 (2025). Le projet cite 7 683,19 € pour 2026 = 92 198,33 € / 12 alors qu'il s'agit de 8 mois (= 11 524,79 €).</t>
  </si>
  <si>
    <t xml:space="preserve">Revenus fonciers nets</t>
  </si>
  <si>
    <t xml:space="preserve">68 / 26</t>
  </si>
  <si>
    <t xml:space="preserve">Mme : déficit LMNP de 183 € en 2025, compté à zéro. M. : 1 657 €/12.</t>
  </si>
  <si>
    <t xml:space="preserve">Pension alimentaire perçue</t>
  </si>
  <si>
    <t xml:space="preserve">jugement 2023</t>
  </si>
  <si>
    <t xml:space="preserve">2 500 €/mois (2 570 € indexés) perçus par Mme, absents de ses ressources dans les deux écritures. Réintégrée dans l'onglet Corrections.</t>
  </si>
  <si>
    <t xml:space="preserve">Total ressources</t>
  </si>
  <si>
    <t xml:space="preserve">CHARGES DE LOGEMENT</t>
  </si>
  <si>
    <t xml:space="preserve">Crédit immobilier (résidence principale)</t>
  </si>
  <si>
    <t xml:space="preserve">34 / –</t>
  </si>
  <si>
    <t xml:space="preserve">Capitalisation sur un bien dont Mme est propriétaire. Aucun loyer ni crédit déclaré côté M. : à compléter si applicable.</t>
  </si>
  <si>
    <t xml:space="preserve">Assurance emprunt immobilier</t>
  </si>
  <si>
    <t xml:space="preserve">35 / –</t>
  </si>
  <si>
    <t xml:space="preserve">Charges de copropriété / charges locatives</t>
  </si>
  <si>
    <t xml:space="preserve">36 / 32</t>
  </si>
  <si>
    <t xml:space="preserve">Taxe foncière</t>
  </si>
  <si>
    <t xml:space="preserve">37 / –</t>
  </si>
  <si>
    <t xml:space="preserve">Électricité</t>
  </si>
  <si>
    <t xml:space="preserve">38 / 30</t>
  </si>
  <si>
    <t xml:space="preserve">M. : moyenne de 3 factures.</t>
  </si>
  <si>
    <t xml:space="preserve">Assurance habitation</t>
  </si>
  <si>
    <t xml:space="preserve">39 / à produire</t>
  </si>
  <si>
    <t xml:space="preserve">Montant laissé en blanc dans le projet de M. (« .. € »).</t>
  </si>
  <si>
    <t xml:space="preserve">Internet / téléphonie</t>
  </si>
  <si>
    <t xml:space="preserve">42 / 31</t>
  </si>
  <si>
    <t xml:space="preserve">Parking</t>
  </si>
  <si>
    <t xml:space="preserve">– / 33</t>
  </si>
  <si>
    <t xml:space="preserve">Sous-total logement</t>
  </si>
  <si>
    <t xml:space="preserve">CHARGES PERSONNELLES</t>
  </si>
  <si>
    <t xml:space="preserve">Impôt sur le revenu</t>
  </si>
  <si>
    <t xml:space="preserve">33, 68 / 26</t>
  </si>
  <si>
    <t xml:space="preserve">Mme : 4 689 €/an en juin, 15 016 €/an en octobre (x 3,2) sans explication ; la pension reçue est imposable chez elle. M. : 16 694 €/an, après déduction de la pension versée.</t>
  </si>
  <si>
    <t xml:space="preserve">Assurance garantie accidents de la vie</t>
  </si>
  <si>
    <t xml:space="preserve">40 / –</t>
  </si>
  <si>
    <t xml:space="preserve">Assurance protection juridique</t>
  </si>
  <si>
    <t xml:space="preserve">41 / –</t>
  </si>
  <si>
    <t xml:space="preserve">Prêt étudiant HEC</t>
  </si>
  <si>
    <t xml:space="preserve">43 / –</t>
  </si>
  <si>
    <t xml:space="preserve">Prêt personnel sans lien avec l'enfant.</t>
  </si>
  <si>
    <t xml:space="preserve">Prêt travaux</t>
  </si>
  <si>
    <t xml:space="preserve">44 / –</t>
  </si>
  <si>
    <t xml:space="preserve">Crédit à la consommation</t>
  </si>
  <si>
    <t xml:space="preserve">70 / –</t>
  </si>
  <si>
    <t xml:space="preserve">Nouveau entre juin et octobre 2026. Objet et date à vérifier.</t>
  </si>
  <si>
    <t xml:space="preserve">Complémentaire santé</t>
  </si>
  <si>
    <t xml:space="preserve">79 / –</t>
  </si>
  <si>
    <t xml:space="preserve">Nouveau entre juin et octobre 2026.</t>
  </si>
  <si>
    <t xml:space="preserve">Surcomplémentaire santé</t>
  </si>
  <si>
    <t xml:space="preserve">80 / –</t>
  </si>
  <si>
    <t xml:space="preserve">Sous-total charges personnelles</t>
  </si>
  <si>
    <t xml:space="preserve">CHARGES LIÉES À ALIÉNOR</t>
  </si>
  <si>
    <t xml:space="preserve">Pension alimentaire versée</t>
  </si>
  <si>
    <t xml:space="preserve">– / jugement 2023</t>
  </si>
  <si>
    <t xml:space="preserve">2 500 € indexés.</t>
  </si>
  <si>
    <t xml:space="preserve">Frais de scolarité</t>
  </si>
  <si>
    <t xml:space="preserve">– / 34</t>
  </si>
  <si>
    <t xml:space="preserve">3 663 €/12 = 305,25 €. Listée dans le projet mais absente de son total de 7 375,76 € (somme réelle : 7 681,01 €).</t>
  </si>
  <si>
    <t xml:space="preserve">Centre aéré / centre de loisirs</t>
  </si>
  <si>
    <t xml:space="preserve">45 / –</t>
  </si>
  <si>
    <t xml:space="preserve">Frais de garde (CESU, nounou, baby-sitting)</t>
  </si>
  <si>
    <t xml:space="preserve">33, 46 / 35</t>
  </si>
  <si>
    <t xml:space="preserve">Mme : 10 884 €/an ; ses conclusions (§13) admettent que le CESU couvre aussi du ménage. M. : 14 923,67 €/an ; la partie adverse allègue un double comptage avec la fille au pair.</t>
  </si>
  <si>
    <t xml:space="preserve">Jeune fille au pair – argent de poche</t>
  </si>
  <si>
    <t xml:space="preserve">– / à produire</t>
  </si>
  <si>
    <t xml:space="preserve">Pièce en attente (commentaire S7 du projet).</t>
  </si>
  <si>
    <t xml:space="preserve">Jeune fille au pair – charges sociales</t>
  </si>
  <si>
    <t xml:space="preserve">Psychologue (suivi bimensuel)</t>
  </si>
  <si>
    <t xml:space="preserve">18, 47, 56 / –</t>
  </si>
  <si>
    <t xml:space="preserve">Piscine (moitié chacun)</t>
  </si>
  <si>
    <t xml:space="preserve">48 / adv. 48</t>
  </si>
  <si>
    <t xml:space="preserve">Gym (moitié chacun)</t>
  </si>
  <si>
    <t xml:space="preserve">49 / adv. 49</t>
  </si>
  <si>
    <t xml:space="preserve">Projet : 34,58 € ; la pièce adverse 49 donne 35,58 €.</t>
  </si>
  <si>
    <t xml:space="preserve">Navigo</t>
  </si>
  <si>
    <t xml:space="preserve">50 / –</t>
  </si>
  <si>
    <t xml:space="preserve">Assurance scolaire et civile</t>
  </si>
  <si>
    <t xml:space="preserve">51 / –</t>
  </si>
  <si>
    <t xml:space="preserve">Sous-total charges Aliénor</t>
  </si>
  <si>
    <t xml:space="preserve">TOTAL CHARGES DÉCLARÉES (somme des lignes)</t>
  </si>
  <si>
    <t xml:space="preserve">REVENU DISPONIBLE CALCULÉ</t>
  </si>
  <si>
    <t xml:space="preserve">Revenu disponible affiché dans l'écriture de la partie</t>
  </si>
  <si>
    <t xml:space="preserve">Mme : 7 029,40 – 7 388,23 (son total est écrit « 7 338,23 » par erreur, le disponible est juste). M. : 10 981,08 – 7 375,76, total qui omet la scolarité.</t>
  </si>
  <si>
    <t xml:space="preserve">Écart entre le calcul ligne à ligne et le chiffre affiché</t>
  </si>
  <si>
    <t xml:space="preserve">Un écart non nul signale une erreur d'addition dans l'écriture concernée.</t>
  </si>
  <si>
    <t xml:space="preserve">LECTURE</t>
  </si>
  <si>
    <t xml:space="preserve">• Bleu : montant repris tel quel de l'écriture de la partie. Noir : formule. Observation sur fond orange : point contestable.</t>
  </si>
  <si>
    <t xml:space="preserve">• Les chiffres sont ceux déclarés par chaque partie ; aucune correction n'est appliquée ici. Les retraitements (pension réintégrée, prêts personnels, revenu 2026 sur 8 mois, loyer de M., etc.) sont dans l'onglet « Corrections », le barème du ministère dans l'onglet « Barème indicatif ».</t>
  </si>
  <si>
    <t xml:space="preserve">• Asymétries : Mme déduit un crédit immobilier (capitalisation) et ne compte pas la pension reçue ; M. compte la pension versée mais ne déclare aucune charge de logement.</t>
  </si>
  <si>
    <t xml:space="preserve">Scénarios corrigés – leviers à ajuster (cellules jaunes)</t>
  </si>
  <si>
    <t xml:space="preserve">Chaque bloc part du disponible calculé dans l'onglet Comparatif, puis applique des retraitements. Les cellules jaunes sont des hypothèses à ajuster ; mettre 0 ou 0 % pour neutraliser un retraitement.</t>
  </si>
  <si>
    <t xml:space="preserve">Retraitement</t>
  </si>
  <si>
    <t xml:space="preserve">Hypothèse</t>
  </si>
  <si>
    <t xml:space="preserve">Effet mensuel (€)</t>
  </si>
  <si>
    <t xml:space="preserve">Justification</t>
  </si>
  <si>
    <t xml:space="preserve">MME GRAMOND – à partir des conclusions d'octobre 2026</t>
  </si>
  <si>
    <t xml:space="preserve">Disponible calculé (onglet Comparatif, col. C)</t>
  </si>
  <si>
    <t xml:space="preserve">Lien vers l'onglet Comparatif.</t>
  </si>
  <si>
    <t xml:space="preserve">Réintégrer la pension alimentaire perçue</t>
  </si>
  <si>
    <t xml:space="preserve">Le jugement du 09/05/2023 fixe 2 500 €/mois (2 570 € indexés selon le projet de M.). Mme l'omet de ses ressources.</t>
  </si>
  <si>
    <t xml:space="preserve">Retenir le revenu 2025 plutôt que la moyenne 2026 (écart mensuel)</t>
  </si>
  <si>
    <t xml:space="preserve">Avis 2026 sur revenus 2025 : 88 664 € soit 7 388,66 €/mois, contre 7 029,40 € retenus par Mme. Mettre 0 pour conserver son chiffre.</t>
  </si>
  <si>
    <t xml:space="preserve">Part des frais de garde CESU correspondant au ménage</t>
  </si>
  <si>
    <t xml:space="preserve">Les conclusions (§13) reconnaissent que les sommes CESU couvrent aussi des prestations de ménage. Saisir la part estimée (ex. 30 %).</t>
  </si>
  <si>
    <t xml:space="preserve">Exclure le prêt étudiant HEC (choix personnel)</t>
  </si>
  <si>
    <t xml:space="preserve">1 = exclu, 0 = conservé. Prêt personnel antérieur, sans lien avec l'entretien de l'enfant.</t>
  </si>
  <si>
    <t xml:space="preserve">Exclure le crédit à la consommation (nouveau, objet non précisé)</t>
  </si>
  <si>
    <t xml:space="preserve">1 = exclu, 0 = conservé. Apparu entre la requête de juin et les conclusions d'octobre (pièce 70).</t>
  </si>
  <si>
    <t xml:space="preserve">Part du crédit immobilier NON retenue comme charge (capitalisation)</t>
  </si>
  <si>
    <t xml:space="preserve">Le remboursement d'un emprunt immobilier enrichit le patrimoine de l'emprunteur ; le juge peut le pondérer. 0 % = charge admise en totalité (position de Mme).</t>
  </si>
  <si>
    <t xml:space="preserve">Correction de la ligne impôts (écart requête → conclusions)</t>
  </si>
  <si>
    <t xml:space="preserve">L'impôt passe de 390,75 € à 1 251,33 €/mois entre juin et octobre 2026 sans explication. Saisir ici le montant à neutraliser si l'écart n'est pas justifié par la pièce 68.</t>
  </si>
  <si>
    <t xml:space="preserve">DISPONIBLE CORRIGÉ – MME GRAMOND</t>
  </si>
  <si>
    <t xml:space="preserve">M. DU VIVIER – à partir du projet du 18/09/2026</t>
  </si>
  <si>
    <t xml:space="preserve">Disponible calculé (onglet Comparatif, col. D, scolarité incluse)</t>
  </si>
  <si>
    <t xml:space="preserve">Lien vers l'onglet Comparatif. Inférieur de 305,25 € au chiffre du projet (3 605,32 €) car la scolarité y était omise du total.</t>
  </si>
  <si>
    <t xml:space="preserve">Retenir la moyenne 2026 sur 8 mois (lecture adverse) : écart mensuel</t>
  </si>
  <si>
    <t xml:space="preserve">92 198,33 € / 8 = 11 524,79 €/mois (conclusions adverses) contre 10 843 € (130 116 / 12). Le projet indiquait 7 683,19 € = 92 198,33 / 12 : division par 12 d'un cumul de 8 mois, à corriger. Mettre 0 pour rester sur le revenu 2025.</t>
  </si>
  <si>
    <t xml:space="preserve">Loyer ou crédit immobilier du logement (non déclaré)</t>
  </si>
  <si>
    <t xml:space="preserve">Le projet ne liste aucun loyer ni crédit pour le 20 rue de Messine. Saisir le montant réel s'il existe (charge admise au même titre que celle de Mme).</t>
  </si>
  <si>
    <t xml:space="preserve">Assurance habitation (laissée en blanc dans le projet)</t>
  </si>
  <si>
    <t xml:space="preserve">Montant « .. € » dans le projet. Saisir le montant réel.</t>
  </si>
  <si>
    <t xml:space="preserve">Double comptage jeune fille au pair / frais de garde (montant à retirer)</t>
  </si>
  <si>
    <t xml:space="preserve">Les conclusions adverses soutiennent que 600 € + 621,82 € désignent la même dépense. Si les lignes 649,50 + 232,33 sont déjà comprises dans les 14 923,67 € de la pièce 35, saisir 881,83.</t>
  </si>
  <si>
    <t xml:space="preserve">Revenus de Mme DU VIVIER (épouse) à réintégrer dans le foyer</t>
  </si>
  <si>
    <t xml:space="preserve">Projet : congé parental depuis le 01/10/2025, aucun revenu. Conclusions adverses : 30 099 € en 2025 (2 508 €/mois) et WhatsApp de la nounou du 24/06/2026. Les ressources du conjoint ne sont pas des ressources du débiteur mais réduisent ses charges de foyer.</t>
  </si>
  <si>
    <t xml:space="preserve">Frais de garde : part correspondant au ménage ou à l'enfant Charles</t>
  </si>
  <si>
    <t xml:space="preserve">Symétrique du retraitement appliqué à Mme. Saisir la part des 1 243,64 € qui ne concerne pas Aliénor.</t>
  </si>
  <si>
    <t xml:space="preserve">DISPONIBLE CORRIGÉ – M. DU VIVIER</t>
  </si>
  <si>
    <t xml:space="preserve">Mme</t>
  </si>
  <si>
    <t xml:space="preserve">M.</t>
  </si>
  <si>
    <t xml:space="preserve">Écart Mme – M.</t>
  </si>
  <si>
    <t xml:space="preserve">Disponible déclaré par chaque partie</t>
  </si>
  <si>
    <t xml:space="preserve">Disponible calculé ligne à ligne</t>
  </si>
  <si>
    <t xml:space="preserve">Disponible corrigé avec les leviers ci-dessus</t>
  </si>
  <si>
    <t xml:space="preserve">Table de référence du ministère de la Justice – ordre de grandeur (1 enfant)</t>
  </si>
  <si>
    <t xml:space="preserve">Formule : (revenu net du débiteur – minimum vital) × taux. Taux pour 1 enfant : 9 % en résidence alternée, 13,5 % en résidence classique (DVH 1 week-end sur 2 + moitié des vacances), 18 % en DVH réduit. Le barème n'a qu'une valeur indicative ; il ne déduit aucune charge de logement. Minimum vital = montant forfaitaire du RSA pour une personne seule : valeur à vérifier à la date de l'audience.</t>
  </si>
  <si>
    <t xml:space="preserve">Revenu net mensuel du débiteur retenu</t>
  </si>
  <si>
    <t xml:space="preserve">Minimum vital (RSA personne seule, à vérifier)</t>
  </si>
  <si>
    <t xml:space="preserve">Taux – résidence alternée (1 enfant)</t>
  </si>
  <si>
    <t xml:space="preserve">Taux – résidence classique (1 enfant)</t>
  </si>
  <si>
    <t xml:space="preserve">Taux – DVH réduit (1 enfant)</t>
  </si>
  <si>
    <t xml:space="preserve">Pension indicative – résidence alternée (situation actuelle)</t>
  </si>
  <si>
    <t xml:space="preserve">Pension indicative – résidence chez la mère (demande adverse)</t>
  </si>
  <si>
    <t xml:space="preserve">Pension actuellement versée (indexée, selon le projet)</t>
  </si>
  <si>
    <t xml:space="preserve">Pension demandée par Mme GRAMOND</t>
  </si>
  <si>
    <t xml:space="preserve">Source : table de référence annexée à la circulaire du 12 avril 2010, mise à jour annuelle publiée par le ministère de la Justice. Les taux sont ceux de la table ; le minimum vital est une hypothèse saisie par Claude, à contrôler.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</si>
</sst>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€&quot;;[RED]\-#,##0&quot; €&quot;;\-"/>
    <numFmt numFmtId="166" formatCode="#,##0.00&quot; €&quot;;[RED]\-#,##0.00&quot; €&quot;;\-"/>
    <numFmt numFmtId="167" formatCode="0.0%"/>
    <numFmt numFmtId="168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D9E1F2"/>
        <bgColor rgb="FFE2EFDA"/>
      </patternFill>
    </fill>
    <fill>
      <patternFill patternType="solid">
        <fgColor rgb="FFFCE4D6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6" min="5" style="0" width="14"/>
    <col collapsed="false" customWidth="true" hidden="false" outlineLevel="0" max="7" min="7" style="0" width="6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</row>
    <row r="4" customFormat="false" ht="39.7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/>
      <c r="G4" s="4"/>
    </row>
    <row r="5" customFormat="false" ht="15" hidden="false" customHeight="false" outlineLevel="0" collapsed="false">
      <c r="A5" s="5" t="s">
        <v>7</v>
      </c>
      <c r="B5" s="6" t="n">
        <f aca="false">B16</f>
        <v>7049.75</v>
      </c>
      <c r="C5" s="6" t="n">
        <f aca="false">C16</f>
        <v>7029.4</v>
      </c>
      <c r="D5" s="6" t="n">
        <f aca="false">D16</f>
        <v>10981.0833333333</v>
      </c>
      <c r="E5" s="6" t="n">
        <f aca="false">C5-D5</f>
        <v>-3951.68333333333</v>
      </c>
      <c r="F5" s="5"/>
      <c r="G5" s="7" t="s">
        <v>8</v>
      </c>
    </row>
    <row r="6" customFormat="false" ht="15" hidden="false" customHeight="false" outlineLevel="0" collapsed="false">
      <c r="A6" s="5" t="s">
        <v>9</v>
      </c>
      <c r="B6" s="6" t="n">
        <f aca="false">B51</f>
        <v>5883.03</v>
      </c>
      <c r="C6" s="6" t="n">
        <f aca="false">C51</f>
        <v>7388.23</v>
      </c>
      <c r="D6" s="6" t="n">
        <f aca="false">D51</f>
        <v>7681.01583333333</v>
      </c>
      <c r="E6" s="6" t="n">
        <f aca="false">C6-D6</f>
        <v>-292.785833333333</v>
      </c>
      <c r="F6" s="5"/>
      <c r="G6" s="7" t="s">
        <v>10</v>
      </c>
    </row>
    <row r="7" customFormat="false" ht="19.5" hidden="false" customHeight="true" outlineLevel="0" collapsed="false">
      <c r="A7" s="8" t="s">
        <v>11</v>
      </c>
      <c r="B7" s="9" t="n">
        <f aca="false">B52</f>
        <v>1166.72</v>
      </c>
      <c r="C7" s="9" t="n">
        <f aca="false">C52</f>
        <v>-358.83</v>
      </c>
      <c r="D7" s="9" t="n">
        <f aca="false">D52</f>
        <v>3300.0675</v>
      </c>
      <c r="E7" s="9" t="n">
        <f aca="false">C7-D7</f>
        <v>-3658.8975</v>
      </c>
      <c r="F7" s="10"/>
      <c r="G7" s="11" t="s">
        <v>12</v>
      </c>
    </row>
    <row r="8" customFormat="false" ht="15" hidden="false" customHeight="false" outlineLevel="0" collapsed="false">
      <c r="A8" s="5" t="s">
        <v>13</v>
      </c>
      <c r="B8" s="6" t="n">
        <f aca="false">B53</f>
        <v>1166.72</v>
      </c>
      <c r="C8" s="6" t="n">
        <f aca="false">C53</f>
        <v>-358.83</v>
      </c>
      <c r="D8" s="6" t="n">
        <f aca="false">D53</f>
        <v>3605.32</v>
      </c>
      <c r="E8" s="6" t="n">
        <f aca="false">C8-D8</f>
        <v>-3964.15</v>
      </c>
      <c r="F8" s="5"/>
      <c r="G8" s="7" t="s">
        <v>14</v>
      </c>
    </row>
    <row r="9" customFormat="false" ht="15" hidden="false" customHeight="false" outlineLevel="0" collapsed="false">
      <c r="A9" s="5" t="s">
        <v>15</v>
      </c>
      <c r="B9" s="6" t="n">
        <f aca="false">B54</f>
        <v>0</v>
      </c>
      <c r="C9" s="6" t="n">
        <f aca="false">C54</f>
        <v>0</v>
      </c>
      <c r="D9" s="6" t="n">
        <f aca="false">D54</f>
        <v>-305.252499999999</v>
      </c>
      <c r="E9" s="12"/>
      <c r="F9" s="5"/>
      <c r="G9" s="7" t="s">
        <v>16</v>
      </c>
    </row>
    <row r="11" customFormat="false" ht="39.75" hidden="false" customHeight="true" outlineLevel="0" collapsed="false">
      <c r="A11" s="4" t="s">
        <v>17</v>
      </c>
      <c r="B11" s="4" t="s">
        <v>3</v>
      </c>
      <c r="C11" s="4" t="s">
        <v>4</v>
      </c>
      <c r="D11" s="4" t="s">
        <v>5</v>
      </c>
      <c r="E11" s="4" t="s">
        <v>6</v>
      </c>
      <c r="F11" s="4" t="s">
        <v>18</v>
      </c>
      <c r="G11" s="4" t="s">
        <v>19</v>
      </c>
    </row>
    <row r="12" customFormat="false" ht="15" hidden="false" customHeight="false" outlineLevel="0" collapsed="false">
      <c r="A12" s="13" t="s">
        <v>20</v>
      </c>
      <c r="B12" s="14"/>
      <c r="C12" s="14"/>
      <c r="D12" s="14"/>
      <c r="E12" s="14"/>
      <c r="F12" s="14"/>
      <c r="G12" s="14"/>
    </row>
    <row r="13" customFormat="false" ht="36" hidden="false" customHeight="true" outlineLevel="0" collapsed="false">
      <c r="A13" s="5" t="s">
        <v>21</v>
      </c>
      <c r="B13" s="15" t="n">
        <v>7049.75</v>
      </c>
      <c r="C13" s="15" t="n">
        <v>7029.4</v>
      </c>
      <c r="D13" s="16" t="n">
        <f aca="false">130116/12</f>
        <v>10843</v>
      </c>
      <c r="E13" s="16" t="n">
        <f aca="false">C13-D13</f>
        <v>-3813.6</v>
      </c>
      <c r="F13" s="17" t="s">
        <v>22</v>
      </c>
      <c r="G13" s="18" t="s">
        <v>23</v>
      </c>
    </row>
    <row r="14" customFormat="false" ht="15" hidden="false" customHeight="true" outlineLevel="0" collapsed="false">
      <c r="A14" s="5" t="s">
        <v>24</v>
      </c>
      <c r="B14" s="15" t="n">
        <v>0</v>
      </c>
      <c r="C14" s="15" t="n">
        <v>0</v>
      </c>
      <c r="D14" s="16" t="n">
        <f aca="false">1657/12</f>
        <v>138.083333333333</v>
      </c>
      <c r="E14" s="16" t="n">
        <f aca="false">C14-D14</f>
        <v>-138.083333333333</v>
      </c>
      <c r="F14" s="17" t="s">
        <v>25</v>
      </c>
      <c r="G14" s="7" t="s">
        <v>26</v>
      </c>
    </row>
    <row r="15" customFormat="false" ht="24.75" hidden="false" customHeight="true" outlineLevel="0" collapsed="false">
      <c r="A15" s="5" t="s">
        <v>27</v>
      </c>
      <c r="B15" s="15" t="n">
        <v>0</v>
      </c>
      <c r="C15" s="15" t="n">
        <v>0</v>
      </c>
      <c r="D15" s="15" t="n">
        <v>0</v>
      </c>
      <c r="E15" s="16" t="n">
        <f aca="false">C15-D15</f>
        <v>0</v>
      </c>
      <c r="F15" s="17" t="s">
        <v>28</v>
      </c>
      <c r="G15" s="18" t="s">
        <v>29</v>
      </c>
    </row>
    <row r="16" customFormat="false" ht="15" hidden="false" customHeight="false" outlineLevel="0" collapsed="false">
      <c r="A16" s="19" t="s">
        <v>30</v>
      </c>
      <c r="B16" s="20" t="n">
        <f aca="false">SUM(B13:B15)</f>
        <v>7049.75</v>
      </c>
      <c r="C16" s="20" t="n">
        <f aca="false">SUM(C13:C15)</f>
        <v>7029.4</v>
      </c>
      <c r="D16" s="20" t="n">
        <f aca="false">SUM(D13:D15)</f>
        <v>10981.0833333333</v>
      </c>
      <c r="E16" s="20" t="n">
        <f aca="false">C16-D16</f>
        <v>-3951.68333333333</v>
      </c>
      <c r="F16" s="21"/>
      <c r="G16" s="21"/>
    </row>
    <row r="17" customFormat="false" ht="15" hidden="false" customHeight="false" outlineLevel="0" collapsed="false">
      <c r="A17" s="13" t="s">
        <v>31</v>
      </c>
      <c r="B17" s="14"/>
      <c r="C17" s="14"/>
      <c r="D17" s="14"/>
      <c r="E17" s="14"/>
      <c r="F17" s="14"/>
      <c r="G17" s="14"/>
    </row>
    <row r="18" customFormat="false" ht="24.75" hidden="false" customHeight="true" outlineLevel="0" collapsed="false">
      <c r="A18" s="5" t="s">
        <v>32</v>
      </c>
      <c r="B18" s="15" t="n">
        <v>2455.69</v>
      </c>
      <c r="C18" s="15" t="n">
        <v>2455.69</v>
      </c>
      <c r="D18" s="15" t="n">
        <v>0</v>
      </c>
      <c r="E18" s="16" t="n">
        <f aca="false">C18-D18</f>
        <v>2455.69</v>
      </c>
      <c r="F18" s="17" t="s">
        <v>33</v>
      </c>
      <c r="G18" s="18" t="s">
        <v>34</v>
      </c>
    </row>
    <row r="19" customFormat="false" ht="15" hidden="false" customHeight="true" outlineLevel="0" collapsed="false">
      <c r="A19" s="5" t="s">
        <v>35</v>
      </c>
      <c r="B19" s="15" t="n">
        <v>93.84</v>
      </c>
      <c r="C19" s="15" t="n">
        <v>93.84</v>
      </c>
      <c r="D19" s="15" t="n">
        <v>0</v>
      </c>
      <c r="E19" s="16" t="n">
        <f aca="false">C19-D19</f>
        <v>93.84</v>
      </c>
      <c r="F19" s="17" t="s">
        <v>36</v>
      </c>
      <c r="G19" s="7"/>
    </row>
    <row r="20" customFormat="false" ht="15" hidden="false" customHeight="true" outlineLevel="0" collapsed="false">
      <c r="A20" s="5" t="s">
        <v>37</v>
      </c>
      <c r="B20" s="15" t="n">
        <v>340.3</v>
      </c>
      <c r="C20" s="15" t="n">
        <v>340.3</v>
      </c>
      <c r="D20" s="15" t="n">
        <v>723</v>
      </c>
      <c r="E20" s="16" t="n">
        <f aca="false">C20-D20</f>
        <v>-382.7</v>
      </c>
      <c r="F20" s="17" t="s">
        <v>38</v>
      </c>
      <c r="G20" s="7"/>
    </row>
    <row r="21" customFormat="false" ht="15" hidden="false" customHeight="true" outlineLevel="0" collapsed="false">
      <c r="A21" s="5" t="s">
        <v>39</v>
      </c>
      <c r="B21" s="15" t="n">
        <v>191.83</v>
      </c>
      <c r="C21" s="15" t="n">
        <v>191.83</v>
      </c>
      <c r="D21" s="15" t="n">
        <v>0</v>
      </c>
      <c r="E21" s="16" t="n">
        <f aca="false">C21-D21</f>
        <v>191.83</v>
      </c>
      <c r="F21" s="17" t="s">
        <v>40</v>
      </c>
      <c r="G21" s="7"/>
    </row>
    <row r="22" customFormat="false" ht="15" hidden="false" customHeight="true" outlineLevel="0" collapsed="false">
      <c r="A22" s="5" t="s">
        <v>41</v>
      </c>
      <c r="B22" s="15" t="n">
        <v>64.05</v>
      </c>
      <c r="C22" s="15" t="n">
        <v>64.05</v>
      </c>
      <c r="D22" s="15" t="n">
        <v>217.16</v>
      </c>
      <c r="E22" s="16" t="n">
        <f aca="false">C22-D22</f>
        <v>-153.11</v>
      </c>
      <c r="F22" s="17" t="s">
        <v>42</v>
      </c>
      <c r="G22" s="7" t="s">
        <v>43</v>
      </c>
    </row>
    <row r="23" customFormat="false" ht="15" hidden="false" customHeight="true" outlineLevel="0" collapsed="false">
      <c r="A23" s="5" t="s">
        <v>44</v>
      </c>
      <c r="B23" s="15" t="n">
        <v>46.13</v>
      </c>
      <c r="C23" s="15" t="n">
        <v>46.13</v>
      </c>
      <c r="D23" s="15" t="n">
        <v>0</v>
      </c>
      <c r="E23" s="16" t="n">
        <f aca="false">C23-D23</f>
        <v>46.13</v>
      </c>
      <c r="F23" s="17" t="s">
        <v>45</v>
      </c>
      <c r="G23" s="18" t="s">
        <v>46</v>
      </c>
    </row>
    <row r="24" customFormat="false" ht="15" hidden="false" customHeight="true" outlineLevel="0" collapsed="false">
      <c r="A24" s="5" t="s">
        <v>47</v>
      </c>
      <c r="B24" s="15" t="n">
        <v>126.24</v>
      </c>
      <c r="C24" s="15" t="n">
        <v>126.24</v>
      </c>
      <c r="D24" s="15" t="n">
        <v>100.98</v>
      </c>
      <c r="E24" s="16" t="n">
        <f aca="false">C24-D24</f>
        <v>25.26</v>
      </c>
      <c r="F24" s="17" t="s">
        <v>48</v>
      </c>
      <c r="G24" s="7"/>
    </row>
    <row r="25" customFormat="false" ht="15" hidden="false" customHeight="true" outlineLevel="0" collapsed="false">
      <c r="A25" s="5" t="s">
        <v>49</v>
      </c>
      <c r="B25" s="15" t="n">
        <v>0</v>
      </c>
      <c r="C25" s="15" t="n">
        <v>0</v>
      </c>
      <c r="D25" s="15" t="n">
        <v>198</v>
      </c>
      <c r="E25" s="16" t="n">
        <f aca="false">C25-D25</f>
        <v>-198</v>
      </c>
      <c r="F25" s="17" t="s">
        <v>50</v>
      </c>
      <c r="G25" s="7"/>
    </row>
    <row r="26" customFormat="false" ht="15" hidden="false" customHeight="false" outlineLevel="0" collapsed="false">
      <c r="A26" s="19" t="s">
        <v>51</v>
      </c>
      <c r="B26" s="20" t="n">
        <f aca="false">SUM(B18:B25)</f>
        <v>3318.08</v>
      </c>
      <c r="C26" s="20" t="n">
        <f aca="false">SUM(C18:C25)</f>
        <v>3318.08</v>
      </c>
      <c r="D26" s="20" t="n">
        <f aca="false">SUM(D18:D25)</f>
        <v>1239.14</v>
      </c>
      <c r="E26" s="20" t="n">
        <f aca="false">C26-D26</f>
        <v>2078.94</v>
      </c>
      <c r="F26" s="21"/>
      <c r="G26" s="21"/>
    </row>
    <row r="27" customFormat="false" ht="15" hidden="false" customHeight="false" outlineLevel="0" collapsed="false">
      <c r="A27" s="13" t="s">
        <v>52</v>
      </c>
      <c r="B27" s="14"/>
      <c r="C27" s="14"/>
      <c r="D27" s="14"/>
      <c r="E27" s="14"/>
      <c r="F27" s="14"/>
      <c r="G27" s="14"/>
    </row>
    <row r="28" customFormat="false" ht="24.75" hidden="false" customHeight="true" outlineLevel="0" collapsed="false">
      <c r="A28" s="5" t="s">
        <v>53</v>
      </c>
      <c r="B28" s="15" t="n">
        <v>390.75</v>
      </c>
      <c r="C28" s="15" t="n">
        <v>1251.33</v>
      </c>
      <c r="D28" s="16" t="n">
        <f aca="false">16694/12</f>
        <v>1391.16666666667</v>
      </c>
      <c r="E28" s="16" t="n">
        <f aca="false">C28-D28</f>
        <v>-139.836666666667</v>
      </c>
      <c r="F28" s="17" t="s">
        <v>54</v>
      </c>
      <c r="G28" s="18" t="s">
        <v>55</v>
      </c>
    </row>
    <row r="29" customFormat="false" ht="15" hidden="false" customHeight="true" outlineLevel="0" collapsed="false">
      <c r="A29" s="5" t="s">
        <v>56</v>
      </c>
      <c r="B29" s="15" t="n">
        <v>13.21</v>
      </c>
      <c r="C29" s="15" t="n">
        <v>13.21</v>
      </c>
      <c r="D29" s="15" t="n">
        <v>0</v>
      </c>
      <c r="E29" s="16" t="n">
        <f aca="false">C29-D29</f>
        <v>13.21</v>
      </c>
      <c r="F29" s="17" t="s">
        <v>57</v>
      </c>
      <c r="G29" s="7"/>
    </row>
    <row r="30" customFormat="false" ht="15" hidden="false" customHeight="true" outlineLevel="0" collapsed="false">
      <c r="A30" s="5" t="s">
        <v>58</v>
      </c>
      <c r="B30" s="15" t="n">
        <v>9.9</v>
      </c>
      <c r="C30" s="15" t="n">
        <v>9.9</v>
      </c>
      <c r="D30" s="15" t="n">
        <v>0</v>
      </c>
      <c r="E30" s="16" t="n">
        <f aca="false">C30-D30</f>
        <v>9.9</v>
      </c>
      <c r="F30" s="17" t="s">
        <v>59</v>
      </c>
      <c r="G30" s="7"/>
    </row>
    <row r="31" customFormat="false" ht="15" hidden="false" customHeight="true" outlineLevel="0" collapsed="false">
      <c r="A31" s="5" t="s">
        <v>60</v>
      </c>
      <c r="B31" s="15" t="n">
        <v>845.68</v>
      </c>
      <c r="C31" s="15" t="n">
        <v>845.68</v>
      </c>
      <c r="D31" s="15" t="n">
        <v>0</v>
      </c>
      <c r="E31" s="16" t="n">
        <f aca="false">C31-D31</f>
        <v>845.68</v>
      </c>
      <c r="F31" s="17" t="s">
        <v>61</v>
      </c>
      <c r="G31" s="7" t="s">
        <v>62</v>
      </c>
    </row>
    <row r="32" customFormat="false" ht="15" hidden="false" customHeight="true" outlineLevel="0" collapsed="false">
      <c r="A32" s="5" t="s">
        <v>63</v>
      </c>
      <c r="B32" s="15" t="n">
        <v>141.34</v>
      </c>
      <c r="C32" s="15" t="n">
        <v>141.34</v>
      </c>
      <c r="D32" s="15" t="n">
        <v>0</v>
      </c>
      <c r="E32" s="16" t="n">
        <f aca="false">C32-D32</f>
        <v>141.34</v>
      </c>
      <c r="F32" s="17" t="s">
        <v>64</v>
      </c>
      <c r="G32" s="7"/>
    </row>
    <row r="33" customFormat="false" ht="15" hidden="false" customHeight="true" outlineLevel="0" collapsed="false">
      <c r="A33" s="5" t="s">
        <v>65</v>
      </c>
      <c r="B33" s="15" t="n">
        <v>0</v>
      </c>
      <c r="C33" s="15" t="n">
        <v>400</v>
      </c>
      <c r="D33" s="15" t="n">
        <v>0</v>
      </c>
      <c r="E33" s="16" t="n">
        <f aca="false">C33-D33</f>
        <v>400</v>
      </c>
      <c r="F33" s="17" t="s">
        <v>66</v>
      </c>
      <c r="G33" s="18" t="s">
        <v>67</v>
      </c>
    </row>
    <row r="34" customFormat="false" ht="15" hidden="false" customHeight="true" outlineLevel="0" collapsed="false">
      <c r="A34" s="5" t="s">
        <v>68</v>
      </c>
      <c r="B34" s="15" t="n">
        <v>0</v>
      </c>
      <c r="C34" s="15" t="n">
        <v>91.2</v>
      </c>
      <c r="D34" s="15" t="n">
        <v>0</v>
      </c>
      <c r="E34" s="16" t="n">
        <f aca="false">C34-D34</f>
        <v>91.2</v>
      </c>
      <c r="F34" s="17" t="s">
        <v>69</v>
      </c>
      <c r="G34" s="7" t="s">
        <v>70</v>
      </c>
    </row>
    <row r="35" customFormat="false" ht="15" hidden="false" customHeight="true" outlineLevel="0" collapsed="false">
      <c r="A35" s="5" t="s">
        <v>71</v>
      </c>
      <c r="B35" s="15" t="n">
        <v>0</v>
      </c>
      <c r="C35" s="15" t="n">
        <v>153.42</v>
      </c>
      <c r="D35" s="15" t="n">
        <v>0</v>
      </c>
      <c r="E35" s="16" t="n">
        <f aca="false">C35-D35</f>
        <v>153.42</v>
      </c>
      <c r="F35" s="17" t="s">
        <v>72</v>
      </c>
      <c r="G35" s="7" t="s">
        <v>70</v>
      </c>
    </row>
    <row r="36" customFormat="false" ht="15" hidden="false" customHeight="false" outlineLevel="0" collapsed="false">
      <c r="A36" s="19" t="s">
        <v>73</v>
      </c>
      <c r="B36" s="20" t="n">
        <f aca="false">SUM(B28:B35)</f>
        <v>1400.88</v>
      </c>
      <c r="C36" s="20" t="n">
        <f aca="false">SUM(C28:C35)</f>
        <v>2906.08</v>
      </c>
      <c r="D36" s="20" t="n">
        <f aca="false">SUM(D28:D35)</f>
        <v>1391.16666666667</v>
      </c>
      <c r="E36" s="20" t="n">
        <f aca="false">C36-D36</f>
        <v>1514.91333333333</v>
      </c>
      <c r="F36" s="21"/>
      <c r="G36" s="21"/>
    </row>
    <row r="37" customFormat="false" ht="15" hidden="false" customHeight="false" outlineLevel="0" collapsed="false">
      <c r="A37" s="13" t="s">
        <v>74</v>
      </c>
      <c r="B37" s="14"/>
      <c r="C37" s="14"/>
      <c r="D37" s="14"/>
      <c r="E37" s="14"/>
      <c r="F37" s="14"/>
      <c r="G37" s="14"/>
    </row>
    <row r="38" customFormat="false" ht="15" hidden="false" customHeight="true" outlineLevel="0" collapsed="false">
      <c r="A38" s="5" t="s">
        <v>75</v>
      </c>
      <c r="B38" s="15" t="n">
        <v>0</v>
      </c>
      <c r="C38" s="15" t="n">
        <v>0</v>
      </c>
      <c r="D38" s="15" t="n">
        <v>2570</v>
      </c>
      <c r="E38" s="16" t="n">
        <f aca="false">C38-D38</f>
        <v>-2570</v>
      </c>
      <c r="F38" s="17" t="s">
        <v>76</v>
      </c>
      <c r="G38" s="7" t="s">
        <v>77</v>
      </c>
    </row>
    <row r="39" customFormat="false" ht="24.75" hidden="false" customHeight="true" outlineLevel="0" collapsed="false">
      <c r="A39" s="5" t="s">
        <v>78</v>
      </c>
      <c r="B39" s="15" t="n">
        <v>0</v>
      </c>
      <c r="C39" s="15" t="n">
        <v>0</v>
      </c>
      <c r="D39" s="16" t="n">
        <f aca="false">3663/12</f>
        <v>305.25</v>
      </c>
      <c r="E39" s="16" t="n">
        <f aca="false">C39-D39</f>
        <v>-305.25</v>
      </c>
      <c r="F39" s="17" t="s">
        <v>79</v>
      </c>
      <c r="G39" s="18" t="s">
        <v>80</v>
      </c>
    </row>
    <row r="40" customFormat="false" ht="15" hidden="false" customHeight="true" outlineLevel="0" collapsed="false">
      <c r="A40" s="5" t="s">
        <v>81</v>
      </c>
      <c r="B40" s="15" t="n">
        <v>62.53</v>
      </c>
      <c r="C40" s="15" t="n">
        <v>62.53</v>
      </c>
      <c r="D40" s="15" t="n">
        <v>0</v>
      </c>
      <c r="E40" s="16" t="n">
        <f aca="false">C40-D40</f>
        <v>62.53</v>
      </c>
      <c r="F40" s="17" t="s">
        <v>82</v>
      </c>
      <c r="G40" s="7"/>
    </row>
    <row r="41" customFormat="false" ht="24.75" hidden="false" customHeight="true" outlineLevel="0" collapsed="false">
      <c r="A41" s="5" t="s">
        <v>83</v>
      </c>
      <c r="B41" s="15" t="n">
        <v>907</v>
      </c>
      <c r="C41" s="15" t="n">
        <v>907</v>
      </c>
      <c r="D41" s="16" t="n">
        <f aca="false">14923.67/12</f>
        <v>1243.63916666667</v>
      </c>
      <c r="E41" s="16" t="n">
        <f aca="false">C41-D41</f>
        <v>-336.639166666667</v>
      </c>
      <c r="F41" s="17" t="s">
        <v>84</v>
      </c>
      <c r="G41" s="18" t="s">
        <v>85</v>
      </c>
    </row>
    <row r="42" customFormat="false" ht="15" hidden="false" customHeight="true" outlineLevel="0" collapsed="false">
      <c r="A42" s="5" t="s">
        <v>86</v>
      </c>
      <c r="B42" s="15" t="n">
        <v>0</v>
      </c>
      <c r="C42" s="15" t="n">
        <v>0</v>
      </c>
      <c r="D42" s="15" t="n">
        <v>649.5</v>
      </c>
      <c r="E42" s="16" t="n">
        <f aca="false">C42-D42</f>
        <v>-649.5</v>
      </c>
      <c r="F42" s="17" t="s">
        <v>87</v>
      </c>
      <c r="G42" s="7" t="s">
        <v>88</v>
      </c>
    </row>
    <row r="43" customFormat="false" ht="15" hidden="false" customHeight="true" outlineLevel="0" collapsed="false">
      <c r="A43" s="5" t="s">
        <v>89</v>
      </c>
      <c r="B43" s="15" t="n">
        <v>0</v>
      </c>
      <c r="C43" s="15" t="n">
        <v>0</v>
      </c>
      <c r="D43" s="15" t="n">
        <v>232.33</v>
      </c>
      <c r="E43" s="16" t="n">
        <f aca="false">C43-D43</f>
        <v>-232.33</v>
      </c>
      <c r="F43" s="17" t="s">
        <v>87</v>
      </c>
      <c r="G43" s="7" t="s">
        <v>88</v>
      </c>
    </row>
    <row r="44" customFormat="false" ht="15" hidden="false" customHeight="true" outlineLevel="0" collapsed="false">
      <c r="A44" s="5" t="s">
        <v>90</v>
      </c>
      <c r="B44" s="15" t="n">
        <v>140</v>
      </c>
      <c r="C44" s="15" t="n">
        <v>140</v>
      </c>
      <c r="D44" s="15" t="n">
        <v>0</v>
      </c>
      <c r="E44" s="16" t="n">
        <f aca="false">C44-D44</f>
        <v>140</v>
      </c>
      <c r="F44" s="17" t="s">
        <v>91</v>
      </c>
      <c r="G44" s="7"/>
    </row>
    <row r="45" customFormat="false" ht="15" hidden="false" customHeight="true" outlineLevel="0" collapsed="false">
      <c r="A45" s="5" t="s">
        <v>92</v>
      </c>
      <c r="B45" s="15" t="n">
        <v>15.41</v>
      </c>
      <c r="C45" s="15" t="n">
        <v>15.41</v>
      </c>
      <c r="D45" s="15" t="n">
        <v>15.41</v>
      </c>
      <c r="E45" s="16" t="n">
        <f aca="false">C45-D45</f>
        <v>0</v>
      </c>
      <c r="F45" s="17" t="s">
        <v>93</v>
      </c>
      <c r="G45" s="7"/>
    </row>
    <row r="46" customFormat="false" ht="15" hidden="false" customHeight="true" outlineLevel="0" collapsed="false">
      <c r="A46" s="5" t="s">
        <v>94</v>
      </c>
      <c r="B46" s="15" t="n">
        <v>35.58</v>
      </c>
      <c r="C46" s="15" t="n">
        <v>35.58</v>
      </c>
      <c r="D46" s="15" t="n">
        <v>34.58</v>
      </c>
      <c r="E46" s="16" t="n">
        <f aca="false">C46-D46</f>
        <v>1</v>
      </c>
      <c r="F46" s="17" t="s">
        <v>95</v>
      </c>
      <c r="G46" s="7" t="s">
        <v>96</v>
      </c>
    </row>
    <row r="47" customFormat="false" ht="15" hidden="false" customHeight="true" outlineLevel="0" collapsed="false">
      <c r="A47" s="5" t="s">
        <v>97</v>
      </c>
      <c r="B47" s="15" t="n">
        <v>2.06</v>
      </c>
      <c r="C47" s="15" t="n">
        <v>2.06</v>
      </c>
      <c r="D47" s="15" t="n">
        <v>0</v>
      </c>
      <c r="E47" s="16" t="n">
        <f aca="false">C47-D47</f>
        <v>2.06</v>
      </c>
      <c r="F47" s="17" t="s">
        <v>98</v>
      </c>
      <c r="G47" s="7"/>
    </row>
    <row r="48" customFormat="false" ht="15" hidden="false" customHeight="true" outlineLevel="0" collapsed="false">
      <c r="A48" s="5" t="s">
        <v>99</v>
      </c>
      <c r="B48" s="15" t="n">
        <v>1.49</v>
      </c>
      <c r="C48" s="15" t="n">
        <v>1.49</v>
      </c>
      <c r="D48" s="15" t="n">
        <v>0</v>
      </c>
      <c r="E48" s="16" t="n">
        <f aca="false">C48-D48</f>
        <v>1.49</v>
      </c>
      <c r="F48" s="17" t="s">
        <v>100</v>
      </c>
      <c r="G48" s="7"/>
    </row>
    <row r="49" customFormat="false" ht="15" hidden="false" customHeight="false" outlineLevel="0" collapsed="false">
      <c r="A49" s="19" t="s">
        <v>101</v>
      </c>
      <c r="B49" s="20" t="n">
        <f aca="false">SUM(B38:B48)</f>
        <v>1164.07</v>
      </c>
      <c r="C49" s="20" t="n">
        <f aca="false">SUM(C38:C48)</f>
        <v>1164.07</v>
      </c>
      <c r="D49" s="20" t="n">
        <f aca="false">SUM(D38:D48)</f>
        <v>5050.70916666667</v>
      </c>
      <c r="E49" s="20" t="n">
        <f aca="false">C49-D49</f>
        <v>-3886.63916666667</v>
      </c>
      <c r="F49" s="21"/>
      <c r="G49" s="21"/>
    </row>
    <row r="51" customFormat="false" ht="15" hidden="false" customHeight="false" outlineLevel="0" collapsed="false">
      <c r="A51" s="19" t="s">
        <v>102</v>
      </c>
      <c r="B51" s="20" t="n">
        <f aca="false">B26+B36+B49</f>
        <v>5883.03</v>
      </c>
      <c r="C51" s="20" t="n">
        <f aca="false">C26+C36+C49</f>
        <v>7388.23</v>
      </c>
      <c r="D51" s="20" t="n">
        <f aca="false">D26+D36+D49</f>
        <v>7681.01583333333</v>
      </c>
      <c r="E51" s="20" t="n">
        <f aca="false">C51-D51</f>
        <v>-292.785833333333</v>
      </c>
      <c r="F51" s="21"/>
      <c r="G51" s="21"/>
    </row>
    <row r="52" customFormat="false" ht="19.5" hidden="false" customHeight="true" outlineLevel="0" collapsed="false">
      <c r="A52" s="8" t="s">
        <v>103</v>
      </c>
      <c r="B52" s="22" t="n">
        <f aca="false">B16-B51</f>
        <v>1166.72</v>
      </c>
      <c r="C52" s="22" t="n">
        <f aca="false">C16-C51</f>
        <v>-358.83</v>
      </c>
      <c r="D52" s="22" t="n">
        <f aca="false">D16-D51</f>
        <v>3300.0675</v>
      </c>
      <c r="E52" s="23" t="n">
        <f aca="false">C52-D52</f>
        <v>-3658.8975</v>
      </c>
      <c r="F52" s="10"/>
      <c r="G52" s="10"/>
    </row>
    <row r="53" customFormat="false" ht="25.5" hidden="false" customHeight="true" outlineLevel="0" collapsed="false">
      <c r="A53" s="5" t="s">
        <v>104</v>
      </c>
      <c r="B53" s="15" t="n">
        <v>1166.72</v>
      </c>
      <c r="C53" s="15" t="n">
        <v>-358.83</v>
      </c>
      <c r="D53" s="15" t="n">
        <v>3605.32</v>
      </c>
      <c r="E53" s="16" t="n">
        <f aca="false">C53-D53</f>
        <v>-3964.15</v>
      </c>
      <c r="F53" s="12"/>
      <c r="G53" s="7" t="s">
        <v>105</v>
      </c>
    </row>
    <row r="54" customFormat="false" ht="15" hidden="false" customHeight="false" outlineLevel="0" collapsed="false">
      <c r="A54" s="24" t="s">
        <v>106</v>
      </c>
      <c r="B54" s="25" t="n">
        <f aca="false">B52-B53</f>
        <v>0</v>
      </c>
      <c r="C54" s="25" t="n">
        <f aca="false">C52-C53</f>
        <v>0</v>
      </c>
      <c r="D54" s="25" t="n">
        <f aca="false">D52-D53</f>
        <v>-305.252499999999</v>
      </c>
      <c r="E54" s="12"/>
      <c r="F54" s="12"/>
      <c r="G54" s="7" t="s">
        <v>107</v>
      </c>
    </row>
    <row r="56" customFormat="false" ht="15" hidden="false" customHeight="false" outlineLevel="0" collapsed="false">
      <c r="A56" s="26" t="s">
        <v>108</v>
      </c>
    </row>
    <row r="57" customFormat="false" ht="24" hidden="false" customHeight="true" outlineLevel="0" collapsed="false">
      <c r="A57" s="27" t="s">
        <v>109</v>
      </c>
      <c r="B57" s="27"/>
      <c r="C57" s="27"/>
      <c r="D57" s="27"/>
      <c r="E57" s="27"/>
      <c r="F57" s="27"/>
      <c r="G57" s="27"/>
    </row>
    <row r="58" customFormat="false" ht="24" hidden="false" customHeight="true" outlineLevel="0" collapsed="false">
      <c r="A58" s="27" t="s">
        <v>110</v>
      </c>
      <c r="B58" s="27"/>
      <c r="C58" s="27"/>
      <c r="D58" s="27"/>
      <c r="E58" s="27"/>
      <c r="F58" s="27"/>
      <c r="G58" s="27"/>
    </row>
    <row r="59" customFormat="false" ht="24" hidden="false" customHeight="true" outlineLevel="0" collapsed="false">
      <c r="A59" s="27" t="s">
        <v>111</v>
      </c>
      <c r="B59" s="27"/>
      <c r="C59" s="27"/>
      <c r="D59" s="27"/>
      <c r="E59" s="27"/>
      <c r="F59" s="27"/>
      <c r="G59" s="27"/>
    </row>
  </sheetData>
  <mergeCells count="4">
    <mergeCell ref="A2:G2"/>
    <mergeCell ref="A57:G57"/>
    <mergeCell ref="A58:G58"/>
    <mergeCell ref="A59:G59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Revenu disponible – comparatif – page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20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112</v>
      </c>
    </row>
    <row r="2" customFormat="false" ht="30" hidden="false" customHeight="true" outlineLevel="0" collapsed="false">
      <c r="A2" s="28" t="s">
        <v>113</v>
      </c>
      <c r="B2" s="28"/>
      <c r="C2" s="28"/>
      <c r="D2" s="28"/>
    </row>
    <row r="4" customFormat="false" ht="15" hidden="false" customHeight="false" outlineLevel="0" collapsed="false">
      <c r="A4" s="4" t="s">
        <v>114</v>
      </c>
      <c r="B4" s="4" t="s">
        <v>115</v>
      </c>
      <c r="C4" s="4" t="s">
        <v>116</v>
      </c>
      <c r="D4" s="4" t="s">
        <v>117</v>
      </c>
    </row>
    <row r="5" customFormat="false" ht="15" hidden="false" customHeight="false" outlineLevel="0" collapsed="false">
      <c r="A5" s="13" t="s">
        <v>118</v>
      </c>
      <c r="B5" s="14"/>
      <c r="C5" s="14"/>
      <c r="D5" s="14"/>
    </row>
    <row r="6" customFormat="false" ht="30" hidden="false" customHeight="true" outlineLevel="0" collapsed="false">
      <c r="A6" s="5" t="s">
        <v>119</v>
      </c>
      <c r="B6" s="29" t="n">
        <f aca="false">Comparatif!C52</f>
        <v>-358.83</v>
      </c>
      <c r="C6" s="16"/>
      <c r="D6" s="30" t="s">
        <v>120</v>
      </c>
    </row>
    <row r="7" customFormat="false" ht="30" hidden="false" customHeight="true" outlineLevel="0" collapsed="false">
      <c r="A7" s="5" t="s">
        <v>121</v>
      </c>
      <c r="B7" s="31" t="n">
        <v>2500</v>
      </c>
      <c r="C7" s="16" t="n">
        <f aca="false">B7</f>
        <v>2500</v>
      </c>
      <c r="D7" s="30" t="s">
        <v>122</v>
      </c>
    </row>
    <row r="8" customFormat="false" ht="30" hidden="false" customHeight="true" outlineLevel="0" collapsed="false">
      <c r="A8" s="5" t="s">
        <v>123</v>
      </c>
      <c r="B8" s="16" t="n">
        <f aca="false">88664/12-7029.4</f>
        <v>359.266666666667</v>
      </c>
      <c r="C8" s="16" t="n">
        <f aca="false">B8</f>
        <v>359.266666666667</v>
      </c>
      <c r="D8" s="30" t="s">
        <v>124</v>
      </c>
    </row>
    <row r="9" customFormat="false" ht="30" hidden="false" customHeight="true" outlineLevel="0" collapsed="false">
      <c r="A9" s="5" t="s">
        <v>125</v>
      </c>
      <c r="B9" s="32" t="n">
        <v>0</v>
      </c>
      <c r="C9" s="16" t="n">
        <f aca="false">B9*Comparatif!C41</f>
        <v>0</v>
      </c>
      <c r="D9" s="30" t="s">
        <v>126</v>
      </c>
    </row>
    <row r="10" customFormat="false" ht="30" hidden="false" customHeight="true" outlineLevel="0" collapsed="false">
      <c r="A10" s="5" t="s">
        <v>127</v>
      </c>
      <c r="B10" s="33" t="n">
        <v>1</v>
      </c>
      <c r="C10" s="16" t="n">
        <f aca="false">B10*Comparatif!C31</f>
        <v>845.68</v>
      </c>
      <c r="D10" s="30" t="s">
        <v>128</v>
      </c>
    </row>
    <row r="11" customFormat="false" ht="30" hidden="false" customHeight="true" outlineLevel="0" collapsed="false">
      <c r="A11" s="5" t="s">
        <v>129</v>
      </c>
      <c r="B11" s="33" t="n">
        <v>1</v>
      </c>
      <c r="C11" s="16" t="n">
        <f aca="false">B11*Comparatif!C33</f>
        <v>400</v>
      </c>
      <c r="D11" s="30" t="s">
        <v>130</v>
      </c>
    </row>
    <row r="12" customFormat="false" ht="30" hidden="false" customHeight="true" outlineLevel="0" collapsed="false">
      <c r="A12" s="5" t="s">
        <v>131</v>
      </c>
      <c r="B12" s="32" t="n">
        <v>0</v>
      </c>
      <c r="C12" s="16" t="n">
        <f aca="false">B12*(Comparatif!C18+Comparatif!C19)</f>
        <v>0</v>
      </c>
      <c r="D12" s="30" t="s">
        <v>132</v>
      </c>
    </row>
    <row r="13" customFormat="false" ht="30" hidden="false" customHeight="true" outlineLevel="0" collapsed="false">
      <c r="A13" s="5" t="s">
        <v>133</v>
      </c>
      <c r="B13" s="31" t="n">
        <v>0</v>
      </c>
      <c r="C13" s="16" t="n">
        <f aca="false">B13</f>
        <v>0</v>
      </c>
      <c r="D13" s="30" t="s">
        <v>134</v>
      </c>
    </row>
    <row r="14" customFormat="false" ht="15" hidden="false" customHeight="false" outlineLevel="0" collapsed="false">
      <c r="A14" s="34" t="s">
        <v>135</v>
      </c>
      <c r="B14" s="35"/>
      <c r="C14" s="36" t="n">
        <f aca="false">B6+SUM(C7:C13)</f>
        <v>3746.11666666667</v>
      </c>
      <c r="D14" s="35"/>
    </row>
    <row r="16" customFormat="false" ht="15" hidden="false" customHeight="false" outlineLevel="0" collapsed="false">
      <c r="A16" s="13" t="s">
        <v>136</v>
      </c>
      <c r="B16" s="14"/>
      <c r="C16" s="14"/>
      <c r="D16" s="14"/>
    </row>
    <row r="17" customFormat="false" ht="30" hidden="false" customHeight="true" outlineLevel="0" collapsed="false">
      <c r="A17" s="5" t="s">
        <v>137</v>
      </c>
      <c r="B17" s="29" t="n">
        <f aca="false">Comparatif!D52</f>
        <v>3300.0675</v>
      </c>
      <c r="C17" s="16"/>
      <c r="D17" s="30" t="s">
        <v>138</v>
      </c>
    </row>
    <row r="18" customFormat="false" ht="30" hidden="false" customHeight="true" outlineLevel="0" collapsed="false">
      <c r="A18" s="5" t="s">
        <v>139</v>
      </c>
      <c r="B18" s="16" t="n">
        <f aca="false">92198.33/8-130116/12</f>
        <v>681.79125</v>
      </c>
      <c r="C18" s="16" t="n">
        <f aca="false">B18</f>
        <v>681.79125</v>
      </c>
      <c r="D18" s="30" t="s">
        <v>140</v>
      </c>
    </row>
    <row r="19" customFormat="false" ht="30" hidden="false" customHeight="true" outlineLevel="0" collapsed="false">
      <c r="A19" s="5" t="s">
        <v>141</v>
      </c>
      <c r="B19" s="31" t="n">
        <v>0</v>
      </c>
      <c r="C19" s="16" t="n">
        <f aca="false">-B19</f>
        <v>-0</v>
      </c>
      <c r="D19" s="30" t="s">
        <v>142</v>
      </c>
    </row>
    <row r="20" customFormat="false" ht="30" hidden="false" customHeight="true" outlineLevel="0" collapsed="false">
      <c r="A20" s="5" t="s">
        <v>143</v>
      </c>
      <c r="B20" s="31" t="n">
        <v>0</v>
      </c>
      <c r="C20" s="16" t="n">
        <f aca="false">-B20</f>
        <v>-0</v>
      </c>
      <c r="D20" s="30" t="s">
        <v>144</v>
      </c>
    </row>
    <row r="21" customFormat="false" ht="30" hidden="false" customHeight="true" outlineLevel="0" collapsed="false">
      <c r="A21" s="5" t="s">
        <v>145</v>
      </c>
      <c r="B21" s="31" t="n">
        <v>0</v>
      </c>
      <c r="C21" s="16" t="n">
        <f aca="false">B21</f>
        <v>0</v>
      </c>
      <c r="D21" s="30" t="s">
        <v>146</v>
      </c>
    </row>
    <row r="22" customFormat="false" ht="30" hidden="false" customHeight="true" outlineLevel="0" collapsed="false">
      <c r="A22" s="5" t="s">
        <v>147</v>
      </c>
      <c r="B22" s="31" t="n">
        <v>0</v>
      </c>
      <c r="C22" s="16" t="n">
        <f aca="false">B22</f>
        <v>0</v>
      </c>
      <c r="D22" s="30" t="s">
        <v>148</v>
      </c>
    </row>
    <row r="23" customFormat="false" ht="30" hidden="false" customHeight="true" outlineLevel="0" collapsed="false">
      <c r="A23" s="5" t="s">
        <v>149</v>
      </c>
      <c r="B23" s="32" t="n">
        <v>0</v>
      </c>
      <c r="C23" s="16" t="n">
        <f aca="false">B23*Comparatif!D41</f>
        <v>0</v>
      </c>
      <c r="D23" s="30" t="s">
        <v>150</v>
      </c>
    </row>
    <row r="24" customFormat="false" ht="15" hidden="false" customHeight="false" outlineLevel="0" collapsed="false">
      <c r="A24" s="34" t="s">
        <v>151</v>
      </c>
      <c r="B24" s="35"/>
      <c r="C24" s="36" t="n">
        <f aca="false">B17+SUM(C18:C23)</f>
        <v>3981.85875</v>
      </c>
      <c r="D24" s="35"/>
    </row>
    <row r="26" customFormat="false" ht="15" hidden="false" customHeight="false" outlineLevel="0" collapsed="false">
      <c r="A26" s="13" t="s">
        <v>2</v>
      </c>
      <c r="B26" s="13" t="s">
        <v>152</v>
      </c>
      <c r="C26" s="13" t="s">
        <v>153</v>
      </c>
      <c r="D26" s="13" t="s">
        <v>154</v>
      </c>
    </row>
    <row r="27" customFormat="false" ht="15" hidden="false" customHeight="false" outlineLevel="0" collapsed="false">
      <c r="A27" s="5" t="s">
        <v>155</v>
      </c>
      <c r="B27" s="29" t="n">
        <f aca="false">Comparatif!C53</f>
        <v>-358.83</v>
      </c>
      <c r="C27" s="29" t="n">
        <f aca="false">Comparatif!D53</f>
        <v>3605.32</v>
      </c>
      <c r="D27" s="37" t="n">
        <f aca="false">B27-C27</f>
        <v>-3964.15</v>
      </c>
    </row>
    <row r="28" customFormat="false" ht="15" hidden="false" customHeight="false" outlineLevel="0" collapsed="false">
      <c r="A28" s="5" t="s">
        <v>156</v>
      </c>
      <c r="B28" s="29" t="n">
        <f aca="false">Comparatif!C52</f>
        <v>-358.83</v>
      </c>
      <c r="C28" s="29" t="n">
        <f aca="false">Comparatif!D52</f>
        <v>3300.0675</v>
      </c>
      <c r="D28" s="37" t="n">
        <f aca="false">B28-C28</f>
        <v>-3658.8975</v>
      </c>
    </row>
    <row r="29" customFormat="false" ht="15" hidden="false" customHeight="false" outlineLevel="0" collapsed="false">
      <c r="A29" s="5" t="s">
        <v>157</v>
      </c>
      <c r="B29" s="29" t="n">
        <f aca="false">C14</f>
        <v>3746.11666666667</v>
      </c>
      <c r="C29" s="29" t="n">
        <f aca="false">C24</f>
        <v>3981.85875</v>
      </c>
      <c r="D29" s="37" t="n">
        <f aca="false">B29-C29</f>
        <v>-235.742083333334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20"/>
  </cols>
  <sheetData>
    <row r="1" customFormat="false" ht="17.35" hidden="false" customHeight="false" outlineLevel="0" collapsed="false">
      <c r="A1" s="1" t="s">
        <v>158</v>
      </c>
    </row>
    <row r="2" customFormat="false" ht="57.75" hidden="false" customHeight="true" outlineLevel="0" collapsed="false">
      <c r="A2" s="28" t="s">
        <v>159</v>
      </c>
      <c r="B2" s="28"/>
      <c r="C2" s="28"/>
    </row>
    <row r="4" customFormat="false" ht="15" hidden="false" customHeight="false" outlineLevel="0" collapsed="false">
      <c r="A4" s="5" t="s">
        <v>160</v>
      </c>
      <c r="B4" s="29" t="n">
        <f aca="false">Comparatif!D16</f>
        <v>10981.0833333333</v>
      </c>
    </row>
    <row r="5" customFormat="false" ht="15" hidden="false" customHeight="false" outlineLevel="0" collapsed="false">
      <c r="A5" s="5" t="s">
        <v>161</v>
      </c>
      <c r="B5" s="31" t="n">
        <v>646.52</v>
      </c>
    </row>
    <row r="6" customFormat="false" ht="15" hidden="false" customHeight="false" outlineLevel="0" collapsed="false">
      <c r="A6" s="5" t="s">
        <v>162</v>
      </c>
      <c r="B6" s="32" t="n">
        <v>0.09</v>
      </c>
    </row>
    <row r="7" customFormat="false" ht="15" hidden="false" customHeight="false" outlineLevel="0" collapsed="false">
      <c r="A7" s="5" t="s">
        <v>163</v>
      </c>
      <c r="B7" s="32" t="n">
        <v>0.135</v>
      </c>
    </row>
    <row r="8" customFormat="false" ht="15" hidden="false" customHeight="false" outlineLevel="0" collapsed="false">
      <c r="A8" s="5" t="s">
        <v>164</v>
      </c>
      <c r="B8" s="32" t="n">
        <v>0.18</v>
      </c>
    </row>
    <row r="10" customFormat="false" ht="15" hidden="false" customHeight="false" outlineLevel="0" collapsed="false">
      <c r="A10" s="19" t="s">
        <v>165</v>
      </c>
      <c r="B10" s="20" t="n">
        <f aca="false">MAX(0,B4-B5)*B6</f>
        <v>930.1107</v>
      </c>
    </row>
    <row r="11" customFormat="false" ht="15" hidden="false" customHeight="false" outlineLevel="0" collapsed="false">
      <c r="A11" s="19" t="s">
        <v>166</v>
      </c>
      <c r="B11" s="20" t="n">
        <f aca="false">MAX(0,B4-B5)*B7</f>
        <v>1395.16605</v>
      </c>
    </row>
    <row r="12" customFormat="false" ht="15" hidden="false" customHeight="false" outlineLevel="0" collapsed="false">
      <c r="A12" s="19" t="s">
        <v>167</v>
      </c>
      <c r="B12" s="20" t="n">
        <f aca="false">Comparatif!D38</f>
        <v>2570</v>
      </c>
    </row>
    <row r="13" customFormat="false" ht="15" hidden="false" customHeight="false" outlineLevel="0" collapsed="false">
      <c r="A13" s="19" t="s">
        <v>168</v>
      </c>
      <c r="B13" s="38" t="n">
        <v>3000</v>
      </c>
    </row>
    <row r="15" customFormat="false" ht="15" hidden="false" customHeight="false" outlineLevel="0" collapsed="false">
      <c r="A15" s="39" t="s">
        <v>169</v>
      </c>
    </row>
  </sheetData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2026-10-27T19:00:01Z</dcterms:created>
  <dc:creator>openpyxl</dc:creator>
  <dc:description/>
  <dc:language>en-US</dc:language>
  <cp:lastModifiedBy/>
  <dcterms:modified xsi:type="dcterms:W3CDTF">2026-10-27T19:00:01Z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