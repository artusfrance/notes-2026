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f" sheetId="1" state="visible" r:id="rId3"/>
    <sheet name="Corrections" sheetId="2" state="visible" r:id="rId4"/>
    <sheet name="Barème indicati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Avis 2025 sur revenus 2024 : 84 597 € / 12.</t>
        </r>
      </text>
    </comment>
    <comment ref="B8" authorId="0">
      <text>
        <r>
          <rPr>
            <sz val="10"/>
            <rFont val="Arial"/>
            <family val="2"/>
          </rPr>
          <t xml:space="preserve">Mme GRAMOND ne fait figurer la pension reçue ni dans ses ressources ni dans son disponible. Voir l'onglet Corrections.</t>
        </r>
      </text>
    </comment>
    <comment ref="B21" authorId="0">
      <text>
        <r>
          <rPr>
            <sz val="10"/>
            <rFont val="Arial"/>
            <family val="2"/>
          </rPr>
          <t xml:space="preserve">4 689 € / 12.</t>
        </r>
      </text>
    </comment>
    <comment ref="C6" authorId="0">
      <text>
        <r>
          <rPr>
            <sz val="10"/>
            <rFont val="Arial"/>
            <family val="2"/>
          </rPr>
          <t xml:space="preserve">Bulletins juillet-sept. 2026 : 63 264,61 € net imposable sur 9 mois / 9. Le revenu 2025 (avis 2026) est de 88 664 €, soit 7 388,66 €/mois.</t>
        </r>
      </text>
    </comment>
    <comment ref="C7" authorId="0">
      <text>
        <r>
          <rPr>
            <sz val="10"/>
            <rFont val="Arial"/>
            <family val="2"/>
          </rPr>
          <t xml:space="preserve">Déficit LMNP de 183 € déclaré pour 2025 : compté à zéro.</t>
        </r>
      </text>
    </comment>
    <comment ref="C8" authorId="0">
      <text>
        <r>
          <rPr>
            <sz val="10"/>
            <rFont val="Arial"/>
            <family val="2"/>
          </rPr>
          <t xml:space="preserve">Idem requête : non intégrée. Voir l'onglet Corrections.</t>
        </r>
      </text>
    </comment>
    <comment ref="C21" authorId="0">
      <text>
        <r>
          <rPr>
            <sz val="10"/>
            <rFont val="Arial"/>
            <family val="2"/>
          </rPr>
          <t xml:space="preserve">15 016 € / 12. Montant multiplié par 3,2 entre la requête et les conclusions, sans explication dans le texte. La pension reçue est imposable chez Mme.</t>
        </r>
      </text>
    </comment>
    <comment ref="C24" authorId="0">
      <text>
        <r>
          <rPr>
            <sz val="10"/>
            <rFont val="Arial"/>
            <family val="2"/>
          </rPr>
          <t xml:space="preserve">Prêt personnel sans lien avec l'enfant.</t>
        </r>
      </text>
    </comment>
    <comment ref="C26" authorId="0">
      <text>
        <r>
          <rPr>
            <sz val="10"/>
            <rFont val="Arial"/>
            <family val="2"/>
          </rPr>
          <t xml:space="preserve">Nouveau par rapport à la requête de juin 2026. Objet et date à vérifier (pièce 70).</t>
        </r>
      </text>
    </comment>
    <comment ref="C27" authorId="0">
      <text>
        <r>
          <rPr>
            <sz val="10"/>
            <rFont val="Arial"/>
            <family val="2"/>
          </rPr>
          <t xml:space="preserve">Nouveau par rapport à la requête.</t>
        </r>
      </text>
    </comment>
    <comment ref="C28" authorId="0">
      <text>
        <r>
          <rPr>
            <sz val="10"/>
            <rFont val="Arial"/>
            <family val="2"/>
          </rPr>
          <t xml:space="preserve">Nouveau par rapport à la requête.</t>
        </r>
      </text>
    </comment>
    <comment ref="C34" authorId="0">
      <text>
        <r>
          <rPr>
            <sz val="10"/>
            <rFont val="Arial"/>
            <family val="2"/>
          </rPr>
          <t xml:space="preserve">10 884 € / 12. Les conclusions admettent (§13) que « les sommes réglées par CESU couvrent aussi des prestations de ménage ».</t>
        </r>
      </text>
    </comment>
    <comment ref="E6" authorId="0">
      <text>
        <r>
          <rPr>
            <sz val="10"/>
            <rFont val="Arial"/>
            <family val="2"/>
          </rPr>
          <t xml:space="preserve">Avis 2026 sur revenus 2025 : 130 116 € / 12. Les conclusions adverses retiennent 92 198,33 € sur 8 mois 2026 = 11 524,79 €/mois ; le projet indique 7 683,19 € (92 198,33 / 12 au lieu de / 8).</t>
        </r>
      </text>
    </comment>
    <comment ref="E7" authorId="0">
      <text>
        <r>
          <rPr>
            <sz val="10"/>
            <rFont val="Arial"/>
            <family val="2"/>
          </rPr>
          <t xml:space="preserve">1 657 € / 12 (avis 2026 sur revenus 2025).</t>
        </r>
      </text>
    </comment>
    <comment ref="E11" authorId="0">
      <text>
        <r>
          <rPr>
            <sz val="10"/>
            <rFont val="Arial"/>
            <family val="2"/>
          </rPr>
          <t xml:space="preserve">Aucun loyer ni crédit immobilier déclaré dans le projet : à compléter si applicable.</t>
        </r>
      </text>
    </comment>
    <comment ref="E15" authorId="0">
      <text>
        <r>
          <rPr>
            <sz val="10"/>
            <rFont val="Arial"/>
            <family val="2"/>
          </rPr>
          <t xml:space="preserve">Moyenne de 3 factures.</t>
        </r>
      </text>
    </comment>
    <comment ref="E16" authorId="0">
      <text>
        <r>
          <rPr>
            <sz val="10"/>
            <rFont val="Arial"/>
            <family val="2"/>
          </rPr>
          <t xml:space="preserve">Montant laissé en blanc dans le projet (« .. € »). Saisir le montant réel.</t>
        </r>
      </text>
    </comment>
    <comment ref="E21" authorId="0">
      <text>
        <r>
          <rPr>
            <sz val="10"/>
            <rFont val="Arial"/>
            <family val="2"/>
          </rPr>
          <t xml:space="preserve">16 694 € / 12. La pension versée (30 840 €/an) est déductible du revenu imposable de M.</t>
        </r>
      </text>
    </comment>
    <comment ref="E31" authorId="0">
      <text>
        <r>
          <rPr>
            <sz val="10"/>
            <rFont val="Arial"/>
            <family val="2"/>
          </rPr>
          <t xml:space="preserve">2 500 € indexés, soit 2 570 € selon le projet.</t>
        </r>
      </text>
    </comment>
    <comment ref="E32" authorId="0">
      <text>
        <r>
          <rPr>
            <sz val="10"/>
            <rFont val="Arial"/>
            <family val="2"/>
          </rPr>
          <t xml:space="preserve">3 663 € / 12 = 305,25 €. Cette ligne figure dans la liste du projet mais n'est PAS comprise dans le total de 7 375,76 € qui y est annoncé (somme réelle des lignes : 7 681,01 €).</t>
        </r>
      </text>
    </comment>
    <comment ref="E34" authorId="0">
      <text>
        <r>
          <rPr>
            <sz val="10"/>
            <rFont val="Arial"/>
            <family val="2"/>
          </rPr>
          <t xml:space="preserve">14 923,67 € / 12. Les conclusions adverses soutiennent un double comptage avec les lignes « jeune fille au pair » : à vérifier pièce par pièce.</t>
        </r>
      </text>
    </comment>
    <comment ref="E35" authorId="0">
      <text>
        <r>
          <rPr>
            <sz val="10"/>
            <rFont val="Arial"/>
            <family val="2"/>
          </rPr>
          <t xml:space="preserve">Pièce en attente de transmission (commentaire S7 du projet).</t>
        </r>
      </text>
    </comment>
    <comment ref="E36" authorId="0">
      <text>
        <r>
          <rPr>
            <sz val="10"/>
            <rFont val="Arial"/>
            <family val="2"/>
          </rPr>
          <t xml:space="preserve">Pièce en attente de transmission (commentaire S7 du projet).</t>
        </r>
      </text>
    </comment>
    <comment ref="E39" authorId="0">
      <text>
        <r>
          <rPr>
            <sz val="10"/>
            <rFont val="Arial"/>
            <family val="2"/>
          </rPr>
          <t xml:space="preserve">Le projet indique 34,58 € ; la pièce adverse 49 donne 35,58 € pour la moitié.</t>
        </r>
      </text>
    </comment>
    <comment ref="E46" authorId="0">
      <text>
        <r>
          <rPr>
            <sz val="10"/>
            <rFont val="Arial"/>
            <family val="2"/>
          </rPr>
          <t xml:space="preserve">10 981,08 – 7 375,76 = 3 605,32 €. Le total de charges annoncé omet la ligne scolarité (305,25 €).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7" authorId="0">
      <text>
        <r>
          <rPr>
            <sz val="10"/>
            <rFont val="Arial"/>
            <family val="2"/>
          </rPr>
          <t xml:space="preserve">Colonne D : écart Mme – M. (négatif = M. dispose de plus).</t>
        </r>
      </text>
    </comment>
  </commentList>
</comments>
</file>

<file path=xl/sharedStrings.xml><?xml version="1.0" encoding="utf-8"?>
<sst xmlns="http://schemas.openxmlformats.org/spreadsheetml/2006/main" count="153" uniqueCount="146">
  <si>
    <t xml:space="preserve">Revenu disponible mensuel – comparatif Mme GRAMOND / M. DU VIVIER (RG 26/35379, audience du 30/10/2026)</t>
  </si>
  <si>
    <t xml:space="preserve">Sources : requête Mme GRAMOND notifiée le 03/06/2026 (col. B) ; conclusions Mme GRAMOND VF du 27/10/2026 (col. C) ; projet de conclusions en réplique M. DU VIVIER au 18/09/2026 (col. E). Montants mensuels en euros, tels que déclarés par chaque partie.</t>
  </si>
  <si>
    <t xml:space="preserve">Poste</t>
  </si>
  <si>
    <t xml:space="preserve">Mme GRAMOND
requête juin 2026</t>
  </si>
  <si>
    <t xml:space="preserve">Mme GRAMOND
conclusions oct. 2026</t>
  </si>
  <si>
    <t xml:space="preserve">Pièce Mme</t>
  </si>
  <si>
    <t xml:space="preserve">M. DU VIVIER
projet 18/09/2026</t>
  </si>
  <si>
    <t xml:space="preserve">Pièce M.</t>
  </si>
  <si>
    <t xml:space="preserve">Écart
Mme (oct.) – M.</t>
  </si>
  <si>
    <t xml:space="preserve">RESSOURCES MENSUELLES</t>
  </si>
  <si>
    <t xml:space="preserve">Salaires nets (chiffre retenu par la partie)</t>
  </si>
  <si>
    <t xml:space="preserve">33 / 68-69</t>
  </si>
  <si>
    <t xml:space="preserve">26</t>
  </si>
  <si>
    <t xml:space="preserve">Revenus fonciers nets</t>
  </si>
  <si>
    <t xml:space="preserve">68</t>
  </si>
  <si>
    <t xml:space="preserve">Pension alimentaire perçue (2 500 €/mois, non intégrée par Mme)</t>
  </si>
  <si>
    <t xml:space="preserve">Jugement 09/05/2023</t>
  </si>
  <si>
    <t xml:space="preserve">Total ressources</t>
  </si>
  <si>
    <t xml:space="preserve">CHARGES DE LOGEMENT</t>
  </si>
  <si>
    <t xml:space="preserve">Crédit immobilier (résidence principale)</t>
  </si>
  <si>
    <t xml:space="preserve">34</t>
  </si>
  <si>
    <t xml:space="preserve">Assurance emprunt immobilier</t>
  </si>
  <si>
    <t xml:space="preserve">35</t>
  </si>
  <si>
    <t xml:space="preserve">Charges de copropriété / charges locatives</t>
  </si>
  <si>
    <t xml:space="preserve">36</t>
  </si>
  <si>
    <t xml:space="preserve">32</t>
  </si>
  <si>
    <t xml:space="preserve">Taxe foncière</t>
  </si>
  <si>
    <t xml:space="preserve">37</t>
  </si>
  <si>
    <t xml:space="preserve">Électricité</t>
  </si>
  <si>
    <t xml:space="preserve">38</t>
  </si>
  <si>
    <t xml:space="preserve">30</t>
  </si>
  <si>
    <t xml:space="preserve">Assurance habitation</t>
  </si>
  <si>
    <t xml:space="preserve">39</t>
  </si>
  <si>
    <t xml:space="preserve">(à produire)</t>
  </si>
  <si>
    <t xml:space="preserve">Internet / téléphonie</t>
  </si>
  <si>
    <t xml:space="preserve">42</t>
  </si>
  <si>
    <t xml:space="preserve">31</t>
  </si>
  <si>
    <t xml:space="preserve">Parking</t>
  </si>
  <si>
    <t xml:space="preserve">33</t>
  </si>
  <si>
    <t xml:space="preserve">Sous-total logement</t>
  </si>
  <si>
    <t xml:space="preserve">CHARGES PERSONNELLES</t>
  </si>
  <si>
    <t xml:space="preserve">Impôt sur le revenu</t>
  </si>
  <si>
    <t xml:space="preserve">33 / 68</t>
  </si>
  <si>
    <t xml:space="preserve">Assurance garantie accidents de la vie</t>
  </si>
  <si>
    <t xml:space="preserve">40</t>
  </si>
  <si>
    <t xml:space="preserve">Assurance protection juridique</t>
  </si>
  <si>
    <t xml:space="preserve">41</t>
  </si>
  <si>
    <t xml:space="preserve">Prêt étudiant HEC</t>
  </si>
  <si>
    <t xml:space="preserve">43</t>
  </si>
  <si>
    <t xml:space="preserve">Prêt travaux</t>
  </si>
  <si>
    <t xml:space="preserve">44</t>
  </si>
  <si>
    <t xml:space="preserve">Crédit à la consommation</t>
  </si>
  <si>
    <t xml:space="preserve">70</t>
  </si>
  <si>
    <t xml:space="preserve">Complémentaire santé</t>
  </si>
  <si>
    <t xml:space="preserve">79</t>
  </si>
  <si>
    <t xml:space="preserve">Surcomplémentaire santé</t>
  </si>
  <si>
    <t xml:space="preserve">80</t>
  </si>
  <si>
    <t xml:space="preserve">Sous-total charges personnelles</t>
  </si>
  <si>
    <t xml:space="preserve">CHARGES LIÉES À ALIÉNOR</t>
  </si>
  <si>
    <t xml:space="preserve">Pension alimentaire versée</t>
  </si>
  <si>
    <t xml:space="preserve">Frais de scolarité</t>
  </si>
  <si>
    <t xml:space="preserve">Centre aéré / centre de loisirs</t>
  </si>
  <si>
    <t xml:space="preserve">45</t>
  </si>
  <si>
    <t xml:space="preserve">Frais de garde (CESU / nounou / baby-sitting)</t>
  </si>
  <si>
    <t xml:space="preserve">33 et 46</t>
  </si>
  <si>
    <t xml:space="preserve">Jeune fille au pair – argent de poche / salaire</t>
  </si>
  <si>
    <t xml:space="preserve">Jeune fille au pair – charges sociales</t>
  </si>
  <si>
    <t xml:space="preserve">Psychologue (suivi bimensuel)</t>
  </si>
  <si>
    <t xml:space="preserve">18, 47, 56</t>
  </si>
  <si>
    <t xml:space="preserve">Piscine (moitié chacun)</t>
  </si>
  <si>
    <t xml:space="preserve">48</t>
  </si>
  <si>
    <t xml:space="preserve">adv. 48</t>
  </si>
  <si>
    <t xml:space="preserve">Gym (moitié chacun)</t>
  </si>
  <si>
    <t xml:space="preserve">49</t>
  </si>
  <si>
    <t xml:space="preserve">adv. 49</t>
  </si>
  <si>
    <t xml:space="preserve">Navigo</t>
  </si>
  <si>
    <t xml:space="preserve">50</t>
  </si>
  <si>
    <t xml:space="preserve">Assurance scolaire et civile</t>
  </si>
  <si>
    <t xml:space="preserve">51</t>
  </si>
  <si>
    <t xml:space="preserve">Sous-total charges Aliénor</t>
  </si>
  <si>
    <t xml:space="preserve">TOTAL CHARGES DÉCLARÉES</t>
  </si>
  <si>
    <t xml:space="preserve">REVENU DISPONIBLE (ressources – charges), calculé</t>
  </si>
  <si>
    <t xml:space="preserve">Revenu disponible affiché dans l'écriture de la partie</t>
  </si>
  <si>
    <t xml:space="preserve">Écart entre le calcul ligne à ligne et le chiffre affiché</t>
  </si>
  <si>
    <t xml:space="preserve">LECTURE</t>
  </si>
  <si>
    <t xml:space="preserve">• Cellules en bleu : montants repris tels quels des écritures (chiffres déclarés par chaque partie). Cellules en noir : formules.</t>
  </si>
  <si>
    <t xml:space="preserve">• Un commentaire (coin rouge) signale la source ou l'anomalie relevée. Les corrections et scénarios sont dans l'onglet « Corrections ».</t>
  </si>
  <si>
    <t xml:space="preserve">• Le disponible calculé de M. (col. E) diffère du chiffre du projet (3 605,32 €) car le projet n'a pas inclus la ligne scolarité dans son total.</t>
  </si>
  <si>
    <t xml:space="preserve">• Asymétries de présentation : Mme déduit un crédit immobilier (capitalisation) ; M. ne déclare ni loyer ni crédit pour son logement. Mme ne compte pas la pension reçue en ressource ; M. la compte en charge.</t>
  </si>
  <si>
    <t xml:space="preserve">• Aucune des deux parties n'inclut nourriture, vêture, loisirs et vacances dans ses charges « incompressibles ».</t>
  </si>
  <si>
    <t xml:space="preserve">Scénarios corrigés – leviers à ajuster (cellules jaunes)</t>
  </si>
  <si>
    <t xml:space="preserve">Chaque bloc part du disponible calculé dans l'onglet Comparatif, puis applique des retraitements. Les cellules jaunes sont des hypothèses à ajuster ; mettre 0 ou 0 % pour neutraliser un retraitement.</t>
  </si>
  <si>
    <t xml:space="preserve">Retraitement</t>
  </si>
  <si>
    <t xml:space="preserve">Hypothèse</t>
  </si>
  <si>
    <t xml:space="preserve">Effet mensuel (€)</t>
  </si>
  <si>
    <t xml:space="preserve">Justification / écart Mme – M. (synthèse)</t>
  </si>
  <si>
    <t xml:space="preserve">MME GRAMOND – à partir des conclusions d'octobre 2026</t>
  </si>
  <si>
    <t xml:space="preserve">Disponible calculé (onglet Comparatif, col. C)</t>
  </si>
  <si>
    <t xml:space="preserve">Lien vers l'onglet Comparatif.</t>
  </si>
  <si>
    <t xml:space="preserve">Réintégrer la pension alimentaire perçue</t>
  </si>
  <si>
    <t xml:space="preserve">Le jugement du 09/05/2023 fixe 2 500 €/mois (2 570 € indexés selon le projet de M.). Mme l'omet de ses ressources.</t>
  </si>
  <si>
    <t xml:space="preserve">Retenir le revenu 2025 plutôt que la moyenne 2026 (écart mensuel)</t>
  </si>
  <si>
    <t xml:space="preserve">Avis 2026 sur revenus 2025 : 88 664 € soit 7 388,66 €/mois, contre 7 029,40 € retenus par Mme. Mettre 0 pour conserver son chiffre.</t>
  </si>
  <si>
    <t xml:space="preserve">Part des frais de garde CESU correspondant au ménage</t>
  </si>
  <si>
    <t xml:space="preserve">Les conclusions (§13) reconnaissent que les sommes CESU couvrent aussi des prestations de ménage. Saisir la part estimée (ex. 30 %).</t>
  </si>
  <si>
    <t xml:space="preserve">Exclure le prêt étudiant HEC (choix personnel)</t>
  </si>
  <si>
    <t xml:space="preserve">1 = exclu, 0 = conservé. Prêt personnel antérieur, sans lien avec l'entretien de l'enfant.</t>
  </si>
  <si>
    <t xml:space="preserve">Exclure le crédit à la consommation (nouveau, objet non précisé)</t>
  </si>
  <si>
    <t xml:space="preserve">1 = exclu, 0 = conservé. Apparu entre la requête de juin et les conclusions d'octobre (pièce 70).</t>
  </si>
  <si>
    <t xml:space="preserve">Part du crédit immobilier NON retenue comme charge (capitalisation)</t>
  </si>
  <si>
    <t xml:space="preserve">Le remboursement d'un emprunt immobilier enrichit le patrimoine de l'emprunteur ; le juge peut le pondérer. 0 % = charge admise en totalité (position de Mme).</t>
  </si>
  <si>
    <t xml:space="preserve">Correction de la ligne impôts (écart requête → conclusions)</t>
  </si>
  <si>
    <t xml:space="preserve">L'impôt passe de 390,75 € à 1 251,33 €/mois entre juin et octobre 2026 sans explication. Saisir ici le montant à neutraliser si l'écart n'est pas justifié par la pièce 68.</t>
  </si>
  <si>
    <t xml:space="preserve">DISPONIBLE CORRIGÉ – MME GRAMOND</t>
  </si>
  <si>
    <t xml:space="preserve">M. DU VIVIER – à partir du projet du 18/09/2026</t>
  </si>
  <si>
    <t xml:space="preserve">Disponible calculé (onglet Comparatif, col. E, scolarité incluse)</t>
  </si>
  <si>
    <t xml:space="preserve">Lien vers l'onglet Comparatif. Inférieur de 305,25 € au chiffre du projet (3 605,32 €) car la scolarité y était omise du total.</t>
  </si>
  <si>
    <t xml:space="preserve">Retenir la moyenne 2026 sur 8 mois (lecture adverse) : écart mensuel</t>
  </si>
  <si>
    <t xml:space="preserve">92 198,33 € / 8 = 11 524,79 €/mois (conclusions adverses) contre 10 843 € (130 116 / 12). Le projet indiquait 7 683,19 € = 92 198,33 / 12 : division par 12 d'un cumul de 8 mois, à corriger. Mettre 0 pour rester sur le revenu 2025.</t>
  </si>
  <si>
    <t xml:space="preserve">Loyer ou crédit immobilier du logement (non déclaré)</t>
  </si>
  <si>
    <t xml:space="preserve">Le projet ne liste aucun loyer ni crédit pour le 20 rue de Messine. Saisir le montant réel s'il existe (charge admise au même titre que celle de Mme).</t>
  </si>
  <si>
    <t xml:space="preserve">Assurance habitation (laissée en blanc dans le projet)</t>
  </si>
  <si>
    <t xml:space="preserve">Montant « .. € » dans le projet. Saisir le montant réel.</t>
  </si>
  <si>
    <t xml:space="preserve">Double comptage jeune fille au pair / frais de garde (montant à retirer)</t>
  </si>
  <si>
    <t xml:space="preserve">Les conclusions adverses soutiennent que 600 € + 621,82 € désignent la même dépense. Si les lignes 649,50 + 232,33 sont déjà comprises dans les 14 923,67 € de la pièce 35, saisir 881,83.</t>
  </si>
  <si>
    <t xml:space="preserve">Revenus de Mme DU VIVIER (épouse) à réintégrer dans le foyer</t>
  </si>
  <si>
    <t xml:space="preserve">Projet : congé parental depuis le 01/10/2025, aucun revenu. Conclusions adverses : 30 099 € en 2025 (2 508 €/mois) et WhatsApp de la nounou du 24/06/2026. Les ressources du conjoint ne sont pas des ressources du débiteur mais réduisent ses charges de foyer.</t>
  </si>
  <si>
    <t xml:space="preserve">Frais de garde : part correspondant au ménage ou à l'enfant Charles</t>
  </si>
  <si>
    <t xml:space="preserve">Symétrique du retraitement appliqué à Mme. Saisir la part des 1 243,64 € qui ne concerne pas Aliénor.</t>
  </si>
  <si>
    <t xml:space="preserve">DISPONIBLE CORRIGÉ – M. DU VIVIER</t>
  </si>
  <si>
    <t xml:space="preserve">SYNTHÈSE</t>
  </si>
  <si>
    <t xml:space="preserve">Disponible déclaré par chaque partie (Mme / M.)</t>
  </si>
  <si>
    <t xml:space="preserve">Disponible calculé ligne à ligne (Mme / M.)</t>
  </si>
  <si>
    <t xml:space="preserve">Disponible corrigé avec les leviers ci-dessus (Mme / M.)</t>
  </si>
  <si>
    <t xml:space="preserve">Table de référence du ministère de la Justice – ordre de grandeur (1 enfant)</t>
  </si>
  <si>
    <t xml:space="preserve">Formule : (revenu net du débiteur – minimum vital) × taux. Taux pour 1 enfant : 9 % en résidence alternée, 13,5 % en résidence classique (DVH 1 week-end sur 2 + moitié des vacances), 18 % en DVH réduit. Le barème n'a qu'une valeur indicative ; il ne déduit aucune charge de logement. Minimum vital = montant forfaitaire du RSA pour une personne seule : valeur à vérifier à la date de l'audience.</t>
  </si>
  <si>
    <t xml:space="preserve">Revenu net mensuel du débiteur retenu</t>
  </si>
  <si>
    <t xml:space="preserve">Minimum vital (RSA personne seule, à vérifier)</t>
  </si>
  <si>
    <t xml:space="preserve">Taux – résidence alternée (1 enfant)</t>
  </si>
  <si>
    <t xml:space="preserve">Taux – résidence classique (1 enfant)</t>
  </si>
  <si>
    <t xml:space="preserve">Taux – DVH réduit (1 enfant)</t>
  </si>
  <si>
    <t xml:space="preserve">Pension indicative – résidence alternée (situation actuelle)</t>
  </si>
  <si>
    <t xml:space="preserve">Pension indicative – résidence chez la mère (demande adverse)</t>
  </si>
  <si>
    <t xml:space="preserve">Pension actuellement versée (indexée, selon le projet)</t>
  </si>
  <si>
    <t xml:space="preserve">Pension demandée par Mme GRAMOND</t>
  </si>
  <si>
    <t xml:space="preserve">Source : table de référence annexée à la circulaire du 12 avril 2010, mise à jour annuelle publiée par le ministère de la Justice. Les taux sont ceux de la table ; le minimum vital est une hypothèse saisie par Claude, à contrôler.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</si>
</sst>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;[RED]\-#,##0.00&quot; €&quot;;\-"/>
    <numFmt numFmtId="166" formatCode="0.0%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10</v>
      </c>
      <c r="B6" s="7" t="n">
        <v>7049.75</v>
      </c>
      <c r="C6" s="7" t="n">
        <v>7029.4</v>
      </c>
      <c r="D6" s="8" t="s">
        <v>11</v>
      </c>
      <c r="E6" s="9" t="n">
        <f aca="false">130116/12</f>
        <v>10843</v>
      </c>
      <c r="F6" s="8" t="s">
        <v>12</v>
      </c>
      <c r="G6" s="9" t="n">
        <f aca="false">C6-E6</f>
        <v>-3813.6</v>
      </c>
    </row>
    <row r="7" customFormat="false" ht="15" hidden="false" customHeight="false" outlineLevel="0" collapsed="false">
      <c r="A7" s="6" t="s">
        <v>13</v>
      </c>
      <c r="B7" s="7" t="n">
        <v>0</v>
      </c>
      <c r="C7" s="7" t="n">
        <v>0</v>
      </c>
      <c r="D7" s="8" t="s">
        <v>14</v>
      </c>
      <c r="E7" s="9" t="n">
        <f aca="false">1657/12</f>
        <v>138.083333333333</v>
      </c>
      <c r="F7" s="8" t="s">
        <v>12</v>
      </c>
      <c r="G7" s="9" t="n">
        <f aca="false">C7-E7</f>
        <v>-138.083333333333</v>
      </c>
    </row>
    <row r="8" customFormat="false" ht="15" hidden="false" customHeight="false" outlineLevel="0" collapsed="false">
      <c r="A8" s="6" t="s">
        <v>15</v>
      </c>
      <c r="B8" s="7" t="n">
        <v>0</v>
      </c>
      <c r="C8" s="7" t="n">
        <v>0</v>
      </c>
      <c r="D8" s="8" t="s">
        <v>16</v>
      </c>
      <c r="E8" s="9"/>
      <c r="F8" s="8"/>
      <c r="G8" s="9" t="n">
        <f aca="false">C8-E8</f>
        <v>0</v>
      </c>
    </row>
    <row r="9" customFormat="false" ht="15" hidden="false" customHeight="false" outlineLevel="0" collapsed="false">
      <c r="A9" s="10" t="s">
        <v>17</v>
      </c>
      <c r="B9" s="11" t="n">
        <f aca="false">SUM(B6:B8)</f>
        <v>7049.75</v>
      </c>
      <c r="C9" s="11" t="n">
        <f aca="false">SUM(C6:C8)</f>
        <v>7029.4</v>
      </c>
      <c r="D9" s="12"/>
      <c r="E9" s="11" t="n">
        <f aca="false">SUM(E6:E8)</f>
        <v>10981.0833333333</v>
      </c>
      <c r="F9" s="12"/>
      <c r="G9" s="11" t="n">
        <f aca="false">C9-E9</f>
        <v>-3951.68333333333</v>
      </c>
    </row>
    <row r="10" customFormat="false" ht="15" hidden="false" customHeight="false" outlineLevel="0" collapsed="false">
      <c r="A10" s="4" t="s">
        <v>18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6" t="s">
        <v>19</v>
      </c>
      <c r="B11" s="7" t="n">
        <v>2455.69</v>
      </c>
      <c r="C11" s="7" t="n">
        <v>2455.69</v>
      </c>
      <c r="D11" s="8" t="s">
        <v>20</v>
      </c>
      <c r="E11" s="9"/>
      <c r="F11" s="8"/>
      <c r="G11" s="9" t="n">
        <f aca="false">C11-E11</f>
        <v>2455.69</v>
      </c>
    </row>
    <row r="12" customFormat="false" ht="15" hidden="false" customHeight="false" outlineLevel="0" collapsed="false">
      <c r="A12" s="6" t="s">
        <v>21</v>
      </c>
      <c r="B12" s="7" t="n">
        <v>93.84</v>
      </c>
      <c r="C12" s="7" t="n">
        <v>93.84</v>
      </c>
      <c r="D12" s="8" t="s">
        <v>22</v>
      </c>
      <c r="E12" s="9"/>
      <c r="F12" s="8"/>
      <c r="G12" s="9" t="n">
        <f aca="false">C12-E12</f>
        <v>93.84</v>
      </c>
    </row>
    <row r="13" customFormat="false" ht="15" hidden="false" customHeight="false" outlineLevel="0" collapsed="false">
      <c r="A13" s="6" t="s">
        <v>23</v>
      </c>
      <c r="B13" s="7" t="n">
        <v>340.3</v>
      </c>
      <c r="C13" s="7" t="n">
        <v>340.3</v>
      </c>
      <c r="D13" s="8" t="s">
        <v>24</v>
      </c>
      <c r="E13" s="7" t="n">
        <v>723</v>
      </c>
      <c r="F13" s="8" t="s">
        <v>25</v>
      </c>
      <c r="G13" s="9" t="n">
        <f aca="false">C13-E13</f>
        <v>-382.7</v>
      </c>
    </row>
    <row r="14" customFormat="false" ht="15" hidden="false" customHeight="false" outlineLevel="0" collapsed="false">
      <c r="A14" s="6" t="s">
        <v>26</v>
      </c>
      <c r="B14" s="7" t="n">
        <v>191.83</v>
      </c>
      <c r="C14" s="7" t="n">
        <v>191.83</v>
      </c>
      <c r="D14" s="8" t="s">
        <v>27</v>
      </c>
      <c r="E14" s="9"/>
      <c r="F14" s="8"/>
      <c r="G14" s="9" t="n">
        <f aca="false">C14-E14</f>
        <v>191.83</v>
      </c>
    </row>
    <row r="15" customFormat="false" ht="15" hidden="false" customHeight="false" outlineLevel="0" collapsed="false">
      <c r="A15" s="6" t="s">
        <v>28</v>
      </c>
      <c r="B15" s="7" t="n">
        <v>64.05</v>
      </c>
      <c r="C15" s="7" t="n">
        <v>64.05</v>
      </c>
      <c r="D15" s="8" t="s">
        <v>29</v>
      </c>
      <c r="E15" s="7" t="n">
        <v>217.16</v>
      </c>
      <c r="F15" s="8" t="s">
        <v>30</v>
      </c>
      <c r="G15" s="9" t="n">
        <f aca="false">C15-E15</f>
        <v>-153.11</v>
      </c>
    </row>
    <row r="16" customFormat="false" ht="15" hidden="false" customHeight="false" outlineLevel="0" collapsed="false">
      <c r="A16" s="6" t="s">
        <v>31</v>
      </c>
      <c r="B16" s="7" t="n">
        <v>46.13</v>
      </c>
      <c r="C16" s="7" t="n">
        <v>46.13</v>
      </c>
      <c r="D16" s="8" t="s">
        <v>32</v>
      </c>
      <c r="E16" s="7" t="n">
        <v>0</v>
      </c>
      <c r="F16" s="8" t="s">
        <v>33</v>
      </c>
      <c r="G16" s="9" t="n">
        <f aca="false">C16-E16</f>
        <v>46.13</v>
      </c>
    </row>
    <row r="17" customFormat="false" ht="15" hidden="false" customHeight="false" outlineLevel="0" collapsed="false">
      <c r="A17" s="6" t="s">
        <v>34</v>
      </c>
      <c r="B17" s="7" t="n">
        <v>126.24</v>
      </c>
      <c r="C17" s="7" t="n">
        <v>126.24</v>
      </c>
      <c r="D17" s="8" t="s">
        <v>35</v>
      </c>
      <c r="E17" s="7" t="n">
        <v>100.98</v>
      </c>
      <c r="F17" s="8" t="s">
        <v>36</v>
      </c>
      <c r="G17" s="9" t="n">
        <f aca="false">C17-E17</f>
        <v>25.26</v>
      </c>
    </row>
    <row r="18" customFormat="false" ht="15" hidden="false" customHeight="false" outlineLevel="0" collapsed="false">
      <c r="A18" s="6" t="s">
        <v>37</v>
      </c>
      <c r="B18" s="9"/>
      <c r="C18" s="9"/>
      <c r="D18" s="8"/>
      <c r="E18" s="7" t="n">
        <v>198</v>
      </c>
      <c r="F18" s="8" t="s">
        <v>38</v>
      </c>
      <c r="G18" s="9" t="n">
        <f aca="false">C18-E18</f>
        <v>-198</v>
      </c>
    </row>
    <row r="19" customFormat="false" ht="15" hidden="false" customHeight="false" outlineLevel="0" collapsed="false">
      <c r="A19" s="10" t="s">
        <v>39</v>
      </c>
      <c r="B19" s="11" t="n">
        <f aca="false">SUM(B11:B18)</f>
        <v>3318.08</v>
      </c>
      <c r="C19" s="11" t="n">
        <f aca="false">SUM(C11:C18)</f>
        <v>3318.08</v>
      </c>
      <c r="D19" s="12"/>
      <c r="E19" s="11" t="n">
        <f aca="false">SUM(E11:E18)</f>
        <v>1239.14</v>
      </c>
      <c r="F19" s="12"/>
      <c r="G19" s="11" t="n">
        <f aca="false">C19-E19</f>
        <v>2078.94</v>
      </c>
    </row>
    <row r="20" customFormat="false" ht="15" hidden="false" customHeight="false" outlineLevel="0" collapsed="false">
      <c r="A20" s="4" t="s">
        <v>40</v>
      </c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6" t="s">
        <v>41</v>
      </c>
      <c r="B21" s="7" t="n">
        <v>390.75</v>
      </c>
      <c r="C21" s="7" t="n">
        <v>1251.33</v>
      </c>
      <c r="D21" s="8" t="s">
        <v>42</v>
      </c>
      <c r="E21" s="9" t="n">
        <f aca="false">16694/12</f>
        <v>1391.16666666667</v>
      </c>
      <c r="F21" s="8" t="s">
        <v>12</v>
      </c>
      <c r="G21" s="9" t="n">
        <f aca="false">C21-E21</f>
        <v>-139.836666666667</v>
      </c>
    </row>
    <row r="22" customFormat="false" ht="15" hidden="false" customHeight="false" outlineLevel="0" collapsed="false">
      <c r="A22" s="6" t="s">
        <v>43</v>
      </c>
      <c r="B22" s="7" t="n">
        <v>13.21</v>
      </c>
      <c r="C22" s="7" t="n">
        <v>13.21</v>
      </c>
      <c r="D22" s="8" t="s">
        <v>44</v>
      </c>
      <c r="E22" s="9"/>
      <c r="F22" s="8"/>
      <c r="G22" s="9" t="n">
        <f aca="false">C22-E22</f>
        <v>13.21</v>
      </c>
    </row>
    <row r="23" customFormat="false" ht="15" hidden="false" customHeight="false" outlineLevel="0" collapsed="false">
      <c r="A23" s="6" t="s">
        <v>45</v>
      </c>
      <c r="B23" s="7" t="n">
        <v>9.9</v>
      </c>
      <c r="C23" s="7" t="n">
        <v>9.9</v>
      </c>
      <c r="D23" s="8" t="s">
        <v>46</v>
      </c>
      <c r="E23" s="9"/>
      <c r="F23" s="8"/>
      <c r="G23" s="9" t="n">
        <f aca="false">C23-E23</f>
        <v>9.9</v>
      </c>
    </row>
    <row r="24" customFormat="false" ht="15" hidden="false" customHeight="false" outlineLevel="0" collapsed="false">
      <c r="A24" s="6" t="s">
        <v>47</v>
      </c>
      <c r="B24" s="7" t="n">
        <v>845.68</v>
      </c>
      <c r="C24" s="7" t="n">
        <v>845.68</v>
      </c>
      <c r="D24" s="8" t="s">
        <v>48</v>
      </c>
      <c r="E24" s="9"/>
      <c r="F24" s="8"/>
      <c r="G24" s="9" t="n">
        <f aca="false">C24-E24</f>
        <v>845.68</v>
      </c>
    </row>
    <row r="25" customFormat="false" ht="15" hidden="false" customHeight="false" outlineLevel="0" collapsed="false">
      <c r="A25" s="6" t="s">
        <v>49</v>
      </c>
      <c r="B25" s="7" t="n">
        <v>141.34</v>
      </c>
      <c r="C25" s="7" t="n">
        <v>141.34</v>
      </c>
      <c r="D25" s="8" t="s">
        <v>50</v>
      </c>
      <c r="E25" s="9"/>
      <c r="F25" s="8"/>
      <c r="G25" s="9" t="n">
        <f aca="false">C25-E25</f>
        <v>141.34</v>
      </c>
    </row>
    <row r="26" customFormat="false" ht="15" hidden="false" customHeight="false" outlineLevel="0" collapsed="false">
      <c r="A26" s="6" t="s">
        <v>51</v>
      </c>
      <c r="B26" s="9"/>
      <c r="C26" s="7" t="n">
        <v>400</v>
      </c>
      <c r="D26" s="8" t="s">
        <v>52</v>
      </c>
      <c r="E26" s="9"/>
      <c r="F26" s="8"/>
      <c r="G26" s="9" t="n">
        <f aca="false">C26-E26</f>
        <v>400</v>
      </c>
    </row>
    <row r="27" customFormat="false" ht="15" hidden="false" customHeight="false" outlineLevel="0" collapsed="false">
      <c r="A27" s="6" t="s">
        <v>53</v>
      </c>
      <c r="B27" s="9"/>
      <c r="C27" s="7" t="n">
        <v>91.2</v>
      </c>
      <c r="D27" s="8" t="s">
        <v>54</v>
      </c>
      <c r="E27" s="9"/>
      <c r="F27" s="8"/>
      <c r="G27" s="9" t="n">
        <f aca="false">C27-E27</f>
        <v>91.2</v>
      </c>
    </row>
    <row r="28" customFormat="false" ht="15" hidden="false" customHeight="false" outlineLevel="0" collapsed="false">
      <c r="A28" s="6" t="s">
        <v>55</v>
      </c>
      <c r="B28" s="9"/>
      <c r="C28" s="7" t="n">
        <v>153.42</v>
      </c>
      <c r="D28" s="8" t="s">
        <v>56</v>
      </c>
      <c r="E28" s="9"/>
      <c r="F28" s="8"/>
      <c r="G28" s="9" t="n">
        <f aca="false">C28-E28</f>
        <v>153.42</v>
      </c>
    </row>
    <row r="29" customFormat="false" ht="15" hidden="false" customHeight="false" outlineLevel="0" collapsed="false">
      <c r="A29" s="10" t="s">
        <v>57</v>
      </c>
      <c r="B29" s="11" t="n">
        <f aca="false">SUM(B21:B28)</f>
        <v>1400.88</v>
      </c>
      <c r="C29" s="11" t="n">
        <f aca="false">SUM(C21:C28)</f>
        <v>2906.08</v>
      </c>
      <c r="D29" s="12"/>
      <c r="E29" s="11" t="n">
        <f aca="false">SUM(E21:E28)</f>
        <v>1391.16666666667</v>
      </c>
      <c r="F29" s="12"/>
      <c r="G29" s="11" t="n">
        <f aca="false">C29-E29</f>
        <v>1514.91333333333</v>
      </c>
    </row>
    <row r="30" customFormat="false" ht="15" hidden="false" customHeight="false" outlineLevel="0" collapsed="false">
      <c r="A30" s="4" t="s">
        <v>58</v>
      </c>
      <c r="B30" s="5"/>
      <c r="C30" s="5"/>
      <c r="D30" s="5"/>
      <c r="E30" s="5"/>
      <c r="F30" s="5"/>
      <c r="G30" s="5"/>
    </row>
    <row r="31" customFormat="false" ht="15" hidden="false" customHeight="false" outlineLevel="0" collapsed="false">
      <c r="A31" s="6" t="s">
        <v>59</v>
      </c>
      <c r="B31" s="9"/>
      <c r="C31" s="9"/>
      <c r="D31" s="8"/>
      <c r="E31" s="7" t="n">
        <v>2570</v>
      </c>
      <c r="F31" s="8" t="s">
        <v>16</v>
      </c>
      <c r="G31" s="9" t="n">
        <f aca="false">C31-E31</f>
        <v>-2570</v>
      </c>
    </row>
    <row r="32" customFormat="false" ht="15" hidden="false" customHeight="false" outlineLevel="0" collapsed="false">
      <c r="A32" s="6" t="s">
        <v>60</v>
      </c>
      <c r="B32" s="9"/>
      <c r="C32" s="9"/>
      <c r="D32" s="8"/>
      <c r="E32" s="9" t="n">
        <f aca="false">3663/12</f>
        <v>305.25</v>
      </c>
      <c r="F32" s="8" t="s">
        <v>20</v>
      </c>
      <c r="G32" s="9" t="n">
        <f aca="false">C32-E32</f>
        <v>-305.25</v>
      </c>
    </row>
    <row r="33" customFormat="false" ht="15" hidden="false" customHeight="false" outlineLevel="0" collapsed="false">
      <c r="A33" s="6" t="s">
        <v>61</v>
      </c>
      <c r="B33" s="7" t="n">
        <v>62.53</v>
      </c>
      <c r="C33" s="7" t="n">
        <v>62.53</v>
      </c>
      <c r="D33" s="8" t="s">
        <v>62</v>
      </c>
      <c r="E33" s="9"/>
      <c r="F33" s="8"/>
      <c r="G33" s="9" t="n">
        <f aca="false">C33-E33</f>
        <v>62.53</v>
      </c>
    </row>
    <row r="34" customFormat="false" ht="15" hidden="false" customHeight="false" outlineLevel="0" collapsed="false">
      <c r="A34" s="6" t="s">
        <v>63</v>
      </c>
      <c r="B34" s="7" t="n">
        <v>907</v>
      </c>
      <c r="C34" s="7" t="n">
        <v>907</v>
      </c>
      <c r="D34" s="8" t="s">
        <v>64</v>
      </c>
      <c r="E34" s="9" t="n">
        <f aca="false">14923.67/12</f>
        <v>1243.63916666667</v>
      </c>
      <c r="F34" s="8" t="s">
        <v>22</v>
      </c>
      <c r="G34" s="9" t="n">
        <f aca="false">C34-E34</f>
        <v>-336.639166666667</v>
      </c>
    </row>
    <row r="35" customFormat="false" ht="15" hidden="false" customHeight="false" outlineLevel="0" collapsed="false">
      <c r="A35" s="6" t="s">
        <v>65</v>
      </c>
      <c r="B35" s="9"/>
      <c r="C35" s="9"/>
      <c r="D35" s="8"/>
      <c r="E35" s="7" t="n">
        <v>649.5</v>
      </c>
      <c r="F35" s="8" t="s">
        <v>33</v>
      </c>
      <c r="G35" s="9" t="n">
        <f aca="false">C35-E35</f>
        <v>-649.5</v>
      </c>
    </row>
    <row r="36" customFormat="false" ht="15" hidden="false" customHeight="false" outlineLevel="0" collapsed="false">
      <c r="A36" s="6" t="s">
        <v>66</v>
      </c>
      <c r="B36" s="9"/>
      <c r="C36" s="9"/>
      <c r="D36" s="8"/>
      <c r="E36" s="7" t="n">
        <v>232.33</v>
      </c>
      <c r="F36" s="8" t="s">
        <v>33</v>
      </c>
      <c r="G36" s="9" t="n">
        <f aca="false">C36-E36</f>
        <v>-232.33</v>
      </c>
    </row>
    <row r="37" customFormat="false" ht="15" hidden="false" customHeight="false" outlineLevel="0" collapsed="false">
      <c r="A37" s="6" t="s">
        <v>67</v>
      </c>
      <c r="B37" s="7" t="n">
        <v>140</v>
      </c>
      <c r="C37" s="7" t="n">
        <v>140</v>
      </c>
      <c r="D37" s="8" t="s">
        <v>68</v>
      </c>
      <c r="E37" s="9"/>
      <c r="F37" s="8"/>
      <c r="G37" s="9" t="n">
        <f aca="false">C37-E37</f>
        <v>140</v>
      </c>
    </row>
    <row r="38" customFormat="false" ht="15" hidden="false" customHeight="false" outlineLevel="0" collapsed="false">
      <c r="A38" s="6" t="s">
        <v>69</v>
      </c>
      <c r="B38" s="7" t="n">
        <v>15.41</v>
      </c>
      <c r="C38" s="7" t="n">
        <v>15.41</v>
      </c>
      <c r="D38" s="8" t="s">
        <v>70</v>
      </c>
      <c r="E38" s="7" t="n">
        <v>15.41</v>
      </c>
      <c r="F38" s="8" t="s">
        <v>71</v>
      </c>
      <c r="G38" s="9" t="n">
        <f aca="false">C38-E38</f>
        <v>0</v>
      </c>
    </row>
    <row r="39" customFormat="false" ht="15" hidden="false" customHeight="false" outlineLevel="0" collapsed="false">
      <c r="A39" s="6" t="s">
        <v>72</v>
      </c>
      <c r="B39" s="7" t="n">
        <v>35.58</v>
      </c>
      <c r="C39" s="7" t="n">
        <v>35.58</v>
      </c>
      <c r="D39" s="8" t="s">
        <v>73</v>
      </c>
      <c r="E39" s="7" t="n">
        <v>34.58</v>
      </c>
      <c r="F39" s="8" t="s">
        <v>74</v>
      </c>
      <c r="G39" s="9" t="n">
        <f aca="false">C39-E39</f>
        <v>1</v>
      </c>
    </row>
    <row r="40" customFormat="false" ht="15" hidden="false" customHeight="false" outlineLevel="0" collapsed="false">
      <c r="A40" s="6" t="s">
        <v>75</v>
      </c>
      <c r="B40" s="7" t="n">
        <v>2.06</v>
      </c>
      <c r="C40" s="7" t="n">
        <v>2.06</v>
      </c>
      <c r="D40" s="8" t="s">
        <v>76</v>
      </c>
      <c r="E40" s="9"/>
      <c r="F40" s="8"/>
      <c r="G40" s="9" t="n">
        <f aca="false">C40-E40</f>
        <v>2.06</v>
      </c>
    </row>
    <row r="41" customFormat="false" ht="15" hidden="false" customHeight="false" outlineLevel="0" collapsed="false">
      <c r="A41" s="6" t="s">
        <v>77</v>
      </c>
      <c r="B41" s="7" t="n">
        <v>1.49</v>
      </c>
      <c r="C41" s="7" t="n">
        <v>1.49</v>
      </c>
      <c r="D41" s="8" t="s">
        <v>78</v>
      </c>
      <c r="E41" s="9"/>
      <c r="F41" s="8"/>
      <c r="G41" s="9" t="n">
        <f aca="false">C41-E41</f>
        <v>1.49</v>
      </c>
    </row>
    <row r="42" customFormat="false" ht="15" hidden="false" customHeight="false" outlineLevel="0" collapsed="false">
      <c r="A42" s="10" t="s">
        <v>79</v>
      </c>
      <c r="B42" s="11" t="n">
        <f aca="false">SUM(B31:B41)</f>
        <v>1164.07</v>
      </c>
      <c r="C42" s="11" t="n">
        <f aca="false">SUM(C31:C41)</f>
        <v>1164.07</v>
      </c>
      <c r="D42" s="12"/>
      <c r="E42" s="11" t="n">
        <f aca="false">SUM(E31:E41)</f>
        <v>5050.70916666667</v>
      </c>
      <c r="F42" s="12"/>
      <c r="G42" s="11" t="n">
        <f aca="false">C42-E42</f>
        <v>-3886.63916666667</v>
      </c>
    </row>
    <row r="44" customFormat="false" ht="15" hidden="false" customHeight="false" outlineLevel="0" collapsed="false">
      <c r="A44" s="10" t="s">
        <v>80</v>
      </c>
      <c r="B44" s="11" t="n">
        <f aca="false">B19+B29+B42</f>
        <v>5883.03</v>
      </c>
      <c r="C44" s="11" t="n">
        <f aca="false">C19+C29+C42</f>
        <v>7388.23</v>
      </c>
      <c r="D44" s="12"/>
      <c r="E44" s="11" t="n">
        <f aca="false">E19+E29+E42</f>
        <v>7681.01583333333</v>
      </c>
      <c r="F44" s="12"/>
      <c r="G44" s="11" t="n">
        <f aca="false">C44-E44</f>
        <v>-292.785833333333</v>
      </c>
    </row>
    <row r="45" customFormat="false" ht="15" hidden="false" customHeight="false" outlineLevel="0" collapsed="false">
      <c r="A45" s="13" t="s">
        <v>81</v>
      </c>
      <c r="B45" s="14" t="n">
        <f aca="false">B9-B44</f>
        <v>1166.72</v>
      </c>
      <c r="C45" s="14" t="n">
        <f aca="false">C9-C44</f>
        <v>-358.83</v>
      </c>
      <c r="D45" s="15"/>
      <c r="E45" s="14" t="n">
        <f aca="false">E9-E44</f>
        <v>3300.0675</v>
      </c>
      <c r="F45" s="15"/>
      <c r="G45" s="16" t="n">
        <f aca="false">C45-E45</f>
        <v>-3658.8975</v>
      </c>
    </row>
    <row r="46" customFormat="false" ht="15" hidden="false" customHeight="false" outlineLevel="0" collapsed="false">
      <c r="A46" s="6" t="s">
        <v>82</v>
      </c>
      <c r="B46" s="7" t="n">
        <v>1166.72</v>
      </c>
      <c r="C46" s="7" t="n">
        <v>-358.83</v>
      </c>
      <c r="D46" s="17"/>
      <c r="E46" s="7" t="n">
        <v>3605.32</v>
      </c>
      <c r="F46" s="17"/>
      <c r="G46" s="17"/>
    </row>
    <row r="47" customFormat="false" ht="15" hidden="false" customHeight="false" outlineLevel="0" collapsed="false">
      <c r="A47" s="18" t="s">
        <v>83</v>
      </c>
      <c r="B47" s="19" t="n">
        <f aca="false">B45-B46</f>
        <v>0</v>
      </c>
      <c r="C47" s="19" t="n">
        <f aca="false">C45-C46</f>
        <v>0</v>
      </c>
      <c r="D47" s="17"/>
      <c r="E47" s="19" t="n">
        <f aca="false">E45-E46</f>
        <v>-305.252499999999</v>
      </c>
      <c r="F47" s="17"/>
      <c r="G47" s="17"/>
    </row>
    <row r="49" customFormat="false" ht="15" hidden="false" customHeight="true" outlineLevel="0" collapsed="false">
      <c r="A49" s="20" t="s">
        <v>84</v>
      </c>
      <c r="B49" s="20"/>
      <c r="C49" s="20"/>
      <c r="D49" s="20"/>
      <c r="E49" s="20"/>
      <c r="F49" s="20"/>
      <c r="G49" s="20"/>
    </row>
    <row r="50" customFormat="false" ht="27.75" hidden="false" customHeight="true" outlineLevel="0" collapsed="false">
      <c r="A50" s="21" t="s">
        <v>85</v>
      </c>
      <c r="B50" s="21"/>
      <c r="C50" s="21"/>
      <c r="D50" s="21"/>
      <c r="E50" s="21"/>
      <c r="F50" s="21"/>
      <c r="G50" s="21"/>
    </row>
    <row r="51" customFormat="false" ht="27.75" hidden="false" customHeight="true" outlineLevel="0" collapsed="false">
      <c r="A51" s="21" t="s">
        <v>86</v>
      </c>
      <c r="B51" s="21"/>
      <c r="C51" s="21"/>
      <c r="D51" s="21"/>
      <c r="E51" s="21"/>
      <c r="F51" s="21"/>
      <c r="G51" s="21"/>
    </row>
    <row r="52" customFormat="false" ht="27.75" hidden="false" customHeight="true" outlineLevel="0" collapsed="false">
      <c r="A52" s="21" t="s">
        <v>87</v>
      </c>
      <c r="B52" s="21"/>
      <c r="C52" s="21"/>
      <c r="D52" s="21"/>
      <c r="E52" s="21"/>
      <c r="F52" s="21"/>
      <c r="G52" s="21"/>
    </row>
    <row r="53" customFormat="false" ht="27.75" hidden="false" customHeight="true" outlineLevel="0" collapsed="false">
      <c r="A53" s="21" t="s">
        <v>88</v>
      </c>
      <c r="B53" s="21"/>
      <c r="C53" s="21"/>
      <c r="D53" s="21"/>
      <c r="E53" s="21"/>
      <c r="F53" s="21"/>
      <c r="G53" s="21"/>
    </row>
    <row r="54" customFormat="false" ht="27.75" hidden="false" customHeight="true" outlineLevel="0" collapsed="false">
      <c r="A54" s="21" t="s">
        <v>89</v>
      </c>
      <c r="B54" s="21"/>
      <c r="C54" s="21"/>
      <c r="D54" s="21"/>
      <c r="E54" s="21"/>
      <c r="F54" s="21"/>
      <c r="G54" s="21"/>
    </row>
  </sheetData>
  <mergeCells count="7">
    <mergeCell ref="A2:G2"/>
    <mergeCell ref="A49:G49"/>
    <mergeCell ref="A50:G50"/>
    <mergeCell ref="A51:G51"/>
    <mergeCell ref="A52:G52"/>
    <mergeCell ref="A53:G53"/>
    <mergeCell ref="A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2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90</v>
      </c>
    </row>
    <row r="2" customFormat="false" ht="30" hidden="false" customHeight="true" outlineLevel="0" collapsed="false">
      <c r="A2" s="2" t="s">
        <v>91</v>
      </c>
      <c r="B2" s="2"/>
      <c r="C2" s="2"/>
      <c r="D2" s="2"/>
    </row>
    <row r="4" customFormat="false" ht="15" hidden="false" customHeight="false" outlineLevel="0" collapsed="false">
      <c r="A4" s="3" t="s">
        <v>92</v>
      </c>
      <c r="B4" s="3" t="s">
        <v>93</v>
      </c>
      <c r="C4" s="3" t="s">
        <v>94</v>
      </c>
      <c r="D4" s="3" t="s">
        <v>95</v>
      </c>
    </row>
    <row r="5" customFormat="false" ht="15" hidden="false" customHeight="false" outlineLevel="0" collapsed="false">
      <c r="A5" s="4" t="s">
        <v>96</v>
      </c>
      <c r="B5" s="5"/>
      <c r="C5" s="5"/>
      <c r="D5" s="5"/>
    </row>
    <row r="6" customFormat="false" ht="30" hidden="false" customHeight="true" outlineLevel="0" collapsed="false">
      <c r="A6" s="6" t="s">
        <v>97</v>
      </c>
      <c r="B6" s="22" t="n">
        <f aca="false">Comparatif!C45</f>
        <v>-358.83</v>
      </c>
      <c r="C6" s="9"/>
      <c r="D6" s="23" t="s">
        <v>98</v>
      </c>
    </row>
    <row r="7" customFormat="false" ht="30" hidden="false" customHeight="true" outlineLevel="0" collapsed="false">
      <c r="A7" s="6" t="s">
        <v>99</v>
      </c>
      <c r="B7" s="24" t="n">
        <v>2500</v>
      </c>
      <c r="C7" s="9" t="n">
        <f aca="false">B7</f>
        <v>2500</v>
      </c>
      <c r="D7" s="23" t="s">
        <v>100</v>
      </c>
    </row>
    <row r="8" customFormat="false" ht="30" hidden="false" customHeight="true" outlineLevel="0" collapsed="false">
      <c r="A8" s="6" t="s">
        <v>101</v>
      </c>
      <c r="B8" s="9" t="n">
        <f aca="false">88664/12-7029.4</f>
        <v>359.266666666667</v>
      </c>
      <c r="C8" s="9" t="n">
        <f aca="false">B8</f>
        <v>359.266666666667</v>
      </c>
      <c r="D8" s="23" t="s">
        <v>102</v>
      </c>
    </row>
    <row r="9" customFormat="false" ht="30" hidden="false" customHeight="true" outlineLevel="0" collapsed="false">
      <c r="A9" s="6" t="s">
        <v>103</v>
      </c>
      <c r="B9" s="25" t="n">
        <v>0</v>
      </c>
      <c r="C9" s="9" t="n">
        <f aca="false">B9*Comparatif!C34</f>
        <v>0</v>
      </c>
      <c r="D9" s="23" t="s">
        <v>104</v>
      </c>
    </row>
    <row r="10" customFormat="false" ht="30" hidden="false" customHeight="true" outlineLevel="0" collapsed="false">
      <c r="A10" s="6" t="s">
        <v>105</v>
      </c>
      <c r="B10" s="26" t="n">
        <v>1</v>
      </c>
      <c r="C10" s="9" t="n">
        <f aca="false">B10*Comparatif!C24</f>
        <v>845.68</v>
      </c>
      <c r="D10" s="23" t="s">
        <v>106</v>
      </c>
    </row>
    <row r="11" customFormat="false" ht="30" hidden="false" customHeight="true" outlineLevel="0" collapsed="false">
      <c r="A11" s="6" t="s">
        <v>107</v>
      </c>
      <c r="B11" s="26" t="n">
        <v>1</v>
      </c>
      <c r="C11" s="9" t="n">
        <f aca="false">B11*Comparatif!C26</f>
        <v>400</v>
      </c>
      <c r="D11" s="23" t="s">
        <v>108</v>
      </c>
    </row>
    <row r="12" customFormat="false" ht="30" hidden="false" customHeight="true" outlineLevel="0" collapsed="false">
      <c r="A12" s="6" t="s">
        <v>109</v>
      </c>
      <c r="B12" s="25" t="n">
        <v>0</v>
      </c>
      <c r="C12" s="9" t="n">
        <f aca="false">B12*(Comparatif!C11+Comparatif!C12)</f>
        <v>0</v>
      </c>
      <c r="D12" s="23" t="s">
        <v>110</v>
      </c>
    </row>
    <row r="13" customFormat="false" ht="30" hidden="false" customHeight="true" outlineLevel="0" collapsed="false">
      <c r="A13" s="6" t="s">
        <v>111</v>
      </c>
      <c r="B13" s="24" t="n">
        <v>0</v>
      </c>
      <c r="C13" s="9" t="n">
        <f aca="false">B13</f>
        <v>0</v>
      </c>
      <c r="D13" s="23" t="s">
        <v>112</v>
      </c>
    </row>
    <row r="14" customFormat="false" ht="15" hidden="false" customHeight="false" outlineLevel="0" collapsed="false">
      <c r="A14" s="13" t="s">
        <v>113</v>
      </c>
      <c r="B14" s="15"/>
      <c r="C14" s="14" t="n">
        <f aca="false">B6+SUM(C7:C13)</f>
        <v>3746.11666666667</v>
      </c>
      <c r="D14" s="15"/>
    </row>
    <row r="16" customFormat="false" ht="15" hidden="false" customHeight="false" outlineLevel="0" collapsed="false">
      <c r="A16" s="4" t="s">
        <v>114</v>
      </c>
      <c r="B16" s="5"/>
      <c r="C16" s="5"/>
      <c r="D16" s="5"/>
    </row>
    <row r="17" customFormat="false" ht="30" hidden="false" customHeight="true" outlineLevel="0" collapsed="false">
      <c r="A17" s="6" t="s">
        <v>115</v>
      </c>
      <c r="B17" s="22" t="n">
        <f aca="false">Comparatif!E45</f>
        <v>3300.0675</v>
      </c>
      <c r="C17" s="9"/>
      <c r="D17" s="23" t="s">
        <v>116</v>
      </c>
    </row>
    <row r="18" customFormat="false" ht="30" hidden="false" customHeight="true" outlineLevel="0" collapsed="false">
      <c r="A18" s="6" t="s">
        <v>117</v>
      </c>
      <c r="B18" s="9" t="n">
        <f aca="false">92198.33/8-130116/12</f>
        <v>681.79125</v>
      </c>
      <c r="C18" s="9" t="n">
        <f aca="false">B18</f>
        <v>681.79125</v>
      </c>
      <c r="D18" s="23" t="s">
        <v>118</v>
      </c>
    </row>
    <row r="19" customFormat="false" ht="30" hidden="false" customHeight="true" outlineLevel="0" collapsed="false">
      <c r="A19" s="6" t="s">
        <v>119</v>
      </c>
      <c r="B19" s="24" t="n">
        <v>0</v>
      </c>
      <c r="C19" s="9" t="n">
        <f aca="false">-B19</f>
        <v>-0</v>
      </c>
      <c r="D19" s="23" t="s">
        <v>120</v>
      </c>
    </row>
    <row r="20" customFormat="false" ht="30" hidden="false" customHeight="true" outlineLevel="0" collapsed="false">
      <c r="A20" s="6" t="s">
        <v>121</v>
      </c>
      <c r="B20" s="24" t="n">
        <v>0</v>
      </c>
      <c r="C20" s="9" t="n">
        <f aca="false">-B20</f>
        <v>-0</v>
      </c>
      <c r="D20" s="23" t="s">
        <v>122</v>
      </c>
    </row>
    <row r="21" customFormat="false" ht="30" hidden="false" customHeight="true" outlineLevel="0" collapsed="false">
      <c r="A21" s="6" t="s">
        <v>123</v>
      </c>
      <c r="B21" s="24" t="n">
        <v>0</v>
      </c>
      <c r="C21" s="9" t="n">
        <f aca="false">B21</f>
        <v>0</v>
      </c>
      <c r="D21" s="23" t="s">
        <v>124</v>
      </c>
    </row>
    <row r="22" customFormat="false" ht="30" hidden="false" customHeight="true" outlineLevel="0" collapsed="false">
      <c r="A22" s="6" t="s">
        <v>125</v>
      </c>
      <c r="B22" s="24" t="n">
        <v>0</v>
      </c>
      <c r="C22" s="9" t="n">
        <f aca="false">B22</f>
        <v>0</v>
      </c>
      <c r="D22" s="23" t="s">
        <v>126</v>
      </c>
    </row>
    <row r="23" customFormat="false" ht="30" hidden="false" customHeight="true" outlineLevel="0" collapsed="false">
      <c r="A23" s="6" t="s">
        <v>127</v>
      </c>
      <c r="B23" s="25" t="n">
        <v>0</v>
      </c>
      <c r="C23" s="9" t="n">
        <f aca="false">B23*Comparatif!E34</f>
        <v>0</v>
      </c>
      <c r="D23" s="23" t="s">
        <v>128</v>
      </c>
    </row>
    <row r="24" customFormat="false" ht="15" hidden="false" customHeight="false" outlineLevel="0" collapsed="false">
      <c r="A24" s="13" t="s">
        <v>129</v>
      </c>
      <c r="B24" s="15"/>
      <c r="C24" s="14" t="n">
        <f aca="false">B17+SUM(C18:C23)</f>
        <v>3981.85875</v>
      </c>
      <c r="D24" s="15"/>
    </row>
    <row r="26" customFormat="false" ht="15" hidden="false" customHeight="false" outlineLevel="0" collapsed="false">
      <c r="A26" s="4" t="s">
        <v>130</v>
      </c>
      <c r="B26" s="5"/>
      <c r="C26" s="5"/>
      <c r="D26" s="5"/>
    </row>
    <row r="27" customFormat="false" ht="15" hidden="false" customHeight="false" outlineLevel="0" collapsed="false">
      <c r="A27" s="6" t="s">
        <v>131</v>
      </c>
      <c r="B27" s="22" t="n">
        <f aca="false">Comparatif!C46</f>
        <v>-358.83</v>
      </c>
      <c r="C27" s="22" t="n">
        <f aca="false">Comparatif!E46</f>
        <v>3605.32</v>
      </c>
      <c r="D27" s="27" t="n">
        <f aca="false">B27-C27</f>
        <v>-3964.15</v>
      </c>
    </row>
    <row r="28" customFormat="false" ht="15" hidden="false" customHeight="false" outlineLevel="0" collapsed="false">
      <c r="A28" s="6" t="s">
        <v>132</v>
      </c>
      <c r="B28" s="22" t="n">
        <f aca="false">Comparatif!C45</f>
        <v>-358.83</v>
      </c>
      <c r="C28" s="22" t="n">
        <f aca="false">Comparatif!E45</f>
        <v>3300.0675</v>
      </c>
      <c r="D28" s="27" t="n">
        <f aca="false">B28-C28</f>
        <v>-3658.8975</v>
      </c>
    </row>
    <row r="29" customFormat="false" ht="15" hidden="false" customHeight="false" outlineLevel="0" collapsed="false">
      <c r="A29" s="6" t="s">
        <v>133</v>
      </c>
      <c r="B29" s="22" t="n">
        <f aca="false">C14</f>
        <v>3746.11666666667</v>
      </c>
      <c r="C29" s="22" t="n">
        <f aca="false">C24</f>
        <v>3981.85875</v>
      </c>
      <c r="D29" s="27" t="n">
        <f aca="false">B29-C29</f>
        <v>-235.742083333334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134</v>
      </c>
    </row>
    <row r="2" customFormat="false" ht="57.75" hidden="false" customHeight="true" outlineLevel="0" collapsed="false">
      <c r="A2" s="2" t="s">
        <v>135</v>
      </c>
      <c r="B2" s="2"/>
      <c r="C2" s="2"/>
    </row>
    <row r="4" customFormat="false" ht="15" hidden="false" customHeight="false" outlineLevel="0" collapsed="false">
      <c r="A4" s="6" t="s">
        <v>136</v>
      </c>
      <c r="B4" s="22" t="n">
        <f aca="false">Comparatif!E9</f>
        <v>10981.0833333333</v>
      </c>
    </row>
    <row r="5" customFormat="false" ht="15" hidden="false" customHeight="false" outlineLevel="0" collapsed="false">
      <c r="A5" s="6" t="s">
        <v>137</v>
      </c>
      <c r="B5" s="24" t="n">
        <v>646.52</v>
      </c>
    </row>
    <row r="6" customFormat="false" ht="15" hidden="false" customHeight="false" outlineLevel="0" collapsed="false">
      <c r="A6" s="6" t="s">
        <v>138</v>
      </c>
      <c r="B6" s="25" t="n">
        <v>0.09</v>
      </c>
    </row>
    <row r="7" customFormat="false" ht="15" hidden="false" customHeight="false" outlineLevel="0" collapsed="false">
      <c r="A7" s="6" t="s">
        <v>139</v>
      </c>
      <c r="B7" s="25" t="n">
        <v>0.135</v>
      </c>
    </row>
    <row r="8" customFormat="false" ht="15" hidden="false" customHeight="false" outlineLevel="0" collapsed="false">
      <c r="A8" s="6" t="s">
        <v>140</v>
      </c>
      <c r="B8" s="25" t="n">
        <v>0.18</v>
      </c>
    </row>
    <row r="10" customFormat="false" ht="15" hidden="false" customHeight="false" outlineLevel="0" collapsed="false">
      <c r="A10" s="10" t="s">
        <v>141</v>
      </c>
      <c r="B10" s="11" t="n">
        <f aca="false">MAX(0,B4-B5)*B6</f>
        <v>930.1107</v>
      </c>
    </row>
    <row r="11" customFormat="false" ht="15" hidden="false" customHeight="false" outlineLevel="0" collapsed="false">
      <c r="A11" s="10" t="s">
        <v>142</v>
      </c>
      <c r="B11" s="11" t="n">
        <f aca="false">MAX(0,B4-B5)*B7</f>
        <v>1395.16605</v>
      </c>
    </row>
    <row r="12" customFormat="false" ht="15" hidden="false" customHeight="false" outlineLevel="0" collapsed="false">
      <c r="A12" s="10" t="s">
        <v>143</v>
      </c>
      <c r="B12" s="11" t="n">
        <f aca="false">Comparatif!E31</f>
        <v>2570</v>
      </c>
    </row>
    <row r="13" customFormat="false" ht="15" hidden="false" customHeight="false" outlineLevel="0" collapsed="false">
      <c r="A13" s="10" t="s">
        <v>144</v>
      </c>
      <c r="B13" s="28" t="n">
        <v>3000</v>
      </c>
    </row>
    <row r="15" customFormat="false" ht="15" hidden="false" customHeight="false" outlineLevel="0" collapsed="false">
      <c r="A15" s="29" t="s">
        <v>145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2026-10-27T18:28:27Z</dcterms:created>
  <dc:creator>openpyxl</dc:creator>
  <dc:description/>
  <dc:language>en-US</dc:language>
  <cp:lastModifiedBy/>
  <dcterms:modified xsi:type="dcterms:W3CDTF">2026-10-27T18:28:27Z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